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Unit Economics" sheetId="3" state="visible" r:id="rId3"/>
    <sheet name="Projections" sheetId="4" state="visible" r:id="rId4"/>
    <sheet name="Burn &amp; Ca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#,##0.0"/>
    <numFmt numFmtId="166" formatCode="&quot;$&quot;#,##0"/>
    <numFmt numFmtId="167" formatCode="&quot;$&quot;#,##0.000"/>
    <numFmt numFmtId="168" formatCode="0.0%"/>
    <numFmt numFmtId="169" formatCode="#,##0.0&quot;×&quot;"/>
    <numFmt numFmtId="170" formatCode="#,##0.0 &quot;months&quot;"/>
    <numFmt numFmtId="171" formatCode="#,##0 &quot;seats&quot;"/>
    <numFmt numFmtId="172" formatCode="#,##0 &quot;teams&quot;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B8C9BD"/>
      <sz val="9"/>
    </font>
    <font>
      <name val="Calibri"/>
      <b val="1"/>
      <color rgb="006E6A5A"/>
      <sz val="9"/>
    </font>
    <font>
      <name val="Calibri"/>
      <b val="1"/>
      <color rgb="0014140F"/>
      <sz val="10"/>
    </font>
    <font>
      <name val="Calibri"/>
      <color rgb="002D2A22"/>
      <sz val="10"/>
    </font>
    <font>
      <name val="Calibri"/>
      <color rgb="0014140F"/>
      <sz val="10"/>
    </font>
    <font>
      <name val="Calibri"/>
      <b val="1"/>
      <color rgb="002D2A22"/>
      <sz val="10"/>
    </font>
    <font>
      <name val="Calibri"/>
      <i val="1"/>
      <color rgb="002D2A22"/>
      <sz val="9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b val="1"/>
      <color rgb="00FFFFFF"/>
      <sz val="16"/>
    </font>
    <font>
      <name val="Calibri"/>
      <b val="1"/>
      <color rgb="001E3B2C"/>
      <sz val="11"/>
    </font>
    <font>
      <name val="Calibri"/>
      <i val="1"/>
      <color rgb="006E6A5A"/>
      <sz val="9"/>
    </font>
    <font>
      <name val="Calibri"/>
      <b val="1"/>
      <color rgb="0014140F"/>
      <sz val="11"/>
    </font>
    <font>
      <name val="Calibri"/>
      <color rgb="0014140F"/>
      <sz val="11"/>
    </font>
    <font>
      <name val="Calibri"/>
      <color rgb="002D2A22"/>
      <sz val="9"/>
    </font>
    <font>
      <name val="Calibri"/>
      <b val="1"/>
      <color rgb="001E3B2C"/>
      <sz val="10"/>
    </font>
    <font>
      <name val="Calibri"/>
      <b val="1"/>
      <color rgb="00FFFFFF"/>
      <sz val="12"/>
    </font>
    <font>
      <name val="Calibri"/>
      <color rgb="006E6A5A"/>
      <sz val="10"/>
    </font>
    <font>
      <name val="Calibri"/>
      <color rgb="001E3B2C"/>
      <sz val="10"/>
    </font>
    <font>
      <name val="Calibri"/>
      <b val="1"/>
      <color rgb="001E3B2C"/>
      <sz val="9"/>
    </font>
    <font>
      <name val="Calibri"/>
      <color rgb="00C0392B"/>
      <sz val="10"/>
    </font>
    <font>
      <name val="Calibri"/>
      <b val="1"/>
      <color rgb="00C0392B"/>
      <sz val="10"/>
    </font>
    <font>
      <name val="Calibri"/>
      <color rgb="00E67E22"/>
      <sz val="10"/>
    </font>
    <font>
      <name val="Calibri"/>
      <b val="1"/>
      <color rgb="00E67E22"/>
      <sz val="10"/>
    </font>
  </fonts>
  <fills count="12">
    <fill>
      <patternFill/>
    </fill>
    <fill>
      <patternFill patternType="gray125"/>
    </fill>
    <fill>
      <patternFill patternType="solid">
        <fgColor rgb="001E3B2C"/>
        <bgColor rgb="001E3B2C"/>
      </patternFill>
    </fill>
    <fill>
      <patternFill patternType="solid">
        <fgColor rgb="00F4ECD7"/>
        <bgColor rgb="00F4ECD7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FFF"/>
        <bgColor rgb="00FFFFFF"/>
      </patternFill>
    </fill>
    <fill>
      <patternFill patternType="solid">
        <fgColor rgb="00FAF4E2"/>
        <bgColor rgb="00FAF4E2"/>
      </patternFill>
    </fill>
    <fill>
      <patternFill patternType="solid">
        <fgColor rgb="00FFFBEB"/>
        <bgColor rgb="00FFFBEB"/>
      </patternFill>
    </fill>
    <fill>
      <patternFill patternType="solid">
        <fgColor rgb="00E0D5BB"/>
        <bgColor rgb="00E0D5BB"/>
      </patternFill>
    </fill>
    <fill>
      <patternFill patternType="solid">
        <fgColor rgb="00DDC9F4"/>
        <bgColor rgb="00DDC9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4" fillId="9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65" fontId="14" fillId="9" borderId="0" applyAlignment="1" pivotButton="0" quotePrefix="0" xfId="0">
      <alignment horizontal="center" vertical="center" wrapText="1"/>
    </xf>
    <xf numFmtId="164" fontId="15" fillId="7" borderId="0" applyAlignment="1" pivotButton="0" quotePrefix="0" xfId="0">
      <alignment horizontal="center" vertical="center" wrapText="1"/>
    </xf>
    <xf numFmtId="166" fontId="15" fillId="7" borderId="0" applyAlignment="1" pivotButton="0" quotePrefix="0" xfId="0">
      <alignment horizontal="center" vertical="center" wrapText="1"/>
    </xf>
    <xf numFmtId="167" fontId="14" fillId="9" borderId="0" applyAlignment="1" pivotButton="0" quotePrefix="0" xfId="0">
      <alignment horizontal="center" vertical="center" wrapText="1"/>
    </xf>
    <xf numFmtId="168" fontId="15" fillId="7" borderId="0" applyAlignment="1" pivotButton="0" quotePrefix="0" xfId="0">
      <alignment horizontal="center" vertical="center" wrapText="1"/>
    </xf>
    <xf numFmtId="166" fontId="14" fillId="9" borderId="0" applyAlignment="1" pivotButton="0" quotePrefix="0" xfId="0">
      <alignment horizontal="center" vertical="center" wrapText="1"/>
    </xf>
    <xf numFmtId="3" fontId="14" fillId="9" borderId="0" applyAlignment="1" pivotButton="0" quotePrefix="0" xfId="0">
      <alignment horizontal="center" vertical="center" wrapText="1"/>
    </xf>
    <xf numFmtId="9" fontId="14" fillId="9" borderId="0" applyAlignment="1" pivotButton="0" quotePrefix="0" xfId="0">
      <alignment horizontal="center" vertical="center" wrapText="1"/>
    </xf>
    <xf numFmtId="168" fontId="14" fillId="9" borderId="0" applyAlignment="1" pivotButton="0" quotePrefix="0" xfId="0">
      <alignment horizontal="center" vertical="center" wrapText="1"/>
    </xf>
    <xf numFmtId="165" fontId="15" fillId="7" borderId="0" applyAlignment="1" pivotButton="0" quotePrefix="0" xfId="0">
      <alignment horizontal="center" vertical="center" wrapText="1"/>
    </xf>
    <xf numFmtId="169" fontId="15" fillId="7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164" fontId="12" fillId="8" borderId="0" applyAlignment="1" pivotButton="0" quotePrefix="0" xfId="0">
      <alignment horizontal="center" vertical="center" wrapText="1"/>
    </xf>
    <xf numFmtId="165" fontId="12" fillId="8" borderId="0" applyAlignment="1" pivotButton="0" quotePrefix="0" xfId="0">
      <alignment horizontal="center" vertical="center" wrapText="1"/>
    </xf>
    <xf numFmtId="166" fontId="12" fillId="8" borderId="0" applyAlignment="1" pivotButton="0" quotePrefix="0" xfId="0">
      <alignment horizontal="center" vertical="center" wrapText="1"/>
    </xf>
    <xf numFmtId="167" fontId="12" fillId="8" borderId="0" applyAlignment="1" pivotButton="0" quotePrefix="0" xfId="0">
      <alignment horizontal="center" vertical="center" wrapText="1"/>
    </xf>
    <xf numFmtId="168" fontId="12" fillId="8" borderId="0" applyAlignment="1" pivotButton="0" quotePrefix="0" xfId="0">
      <alignment horizontal="center" vertical="center" wrapText="1"/>
    </xf>
    <xf numFmtId="170" fontId="12" fillId="8" borderId="0" applyAlignment="1" pivotButton="0" quotePrefix="0" xfId="0">
      <alignment horizontal="center" vertical="center" wrapText="1"/>
    </xf>
    <xf numFmtId="169" fontId="12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left" vertical="top" wrapText="1"/>
    </xf>
    <xf numFmtId="171" fontId="12" fillId="8" borderId="0" applyAlignment="1" pivotButton="0" quotePrefix="0" xfId="0">
      <alignment horizontal="center" vertical="center" wrapText="1"/>
    </xf>
    <xf numFmtId="172" fontId="12" fillId="8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center" vertical="center" wrapText="1"/>
    </xf>
    <xf numFmtId="166" fontId="20" fillId="4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center" vertical="center" wrapText="1"/>
    </xf>
    <xf numFmtId="166" fontId="20" fillId="7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center" vertical="center" wrapText="1"/>
    </xf>
    <xf numFmtId="0" fontId="19" fillId="11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166" fontId="17" fillId="11" borderId="0" applyAlignment="1" pivotButton="0" quotePrefix="0" xfId="0">
      <alignment horizontal="right" vertical="center"/>
    </xf>
    <xf numFmtId="166" fontId="12" fillId="11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right" vertical="center"/>
    </xf>
    <xf numFmtId="166" fontId="17" fillId="3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center" vertical="center" wrapText="1"/>
    </xf>
    <xf numFmtId="166" fontId="20" fillId="5" borderId="0" applyAlignment="1" pivotButton="0" quotePrefix="0" xfId="0">
      <alignment horizontal="right" vertical="center"/>
    </xf>
    <xf numFmtId="0" fontId="19" fillId="6" borderId="0" applyAlignment="1" pivotButton="0" quotePrefix="0" xfId="0">
      <alignment horizontal="center" vertical="center" wrapText="1"/>
    </xf>
    <xf numFmtId="166" fontId="20" fillId="6" borderId="0" applyAlignment="1" pivotButton="0" quotePrefix="0" xfId="0">
      <alignment horizontal="right" vertical="center"/>
    </xf>
    <xf numFmtId="0" fontId="21" fillId="3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166" fontId="19" fillId="8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166" fontId="22" fillId="8" borderId="0" applyAlignment="1" pivotButton="0" quotePrefix="0" xfId="0">
      <alignment horizontal="right" vertical="center"/>
    </xf>
    <xf numFmtId="166" fontId="20" fillId="8" borderId="0" applyAlignment="1" pivotButton="0" quotePrefix="0" xfId="0">
      <alignment horizontal="right" vertical="center"/>
    </xf>
    <xf numFmtId="166" fontId="19" fillId="7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166" fontId="22" fillId="7" borderId="0" applyAlignment="1" pivotButton="0" quotePrefix="0" xfId="0">
      <alignment horizontal="right" vertical="center"/>
    </xf>
    <xf numFmtId="166" fontId="20" fillId="11" borderId="0" applyAlignment="1" pivotButton="0" quotePrefix="0" xfId="0">
      <alignment horizontal="right" vertical="center"/>
    </xf>
    <xf numFmtId="166" fontId="19" fillId="11" borderId="0" applyAlignment="1" pivotButton="0" quotePrefix="0" xfId="0">
      <alignment horizontal="right" vertical="center"/>
    </xf>
    <xf numFmtId="166" fontId="5" fillId="11" borderId="0" applyAlignment="1" pivotButton="0" quotePrefix="0" xfId="0">
      <alignment horizontal="right" vertical="center"/>
    </xf>
    <xf numFmtId="166" fontId="23" fillId="11" borderId="0" applyAlignment="1" pivotButton="0" quotePrefix="0" xfId="0">
      <alignment horizontal="right" vertical="center"/>
    </xf>
    <xf numFmtId="166" fontId="24" fillId="7" borderId="0" applyAlignment="1" pivotButton="0" quotePrefix="0" xfId="0">
      <alignment horizontal="right" vertical="center"/>
    </xf>
    <xf numFmtId="166" fontId="24" fillId="8" borderId="0" applyAlignment="1" pivotButton="0" quotePrefix="0" xfId="0">
      <alignment horizontal="right" vertical="center"/>
    </xf>
    <xf numFmtId="166" fontId="25" fillId="11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 ht="10" customHeight="1"/>
    <row r="2" ht="36" customHeight="1">
      <c r="B2" s="1" t="inlineStr">
        <is>
          <t>Duble//Slash · Financial Model</t>
        </is>
      </c>
    </row>
    <row r="3" ht="20" customHeight="1">
      <c r="B3" s="2" t="inlineStr">
        <is>
          <t>Seed Round · May 2026  —  Projections through Dec 2027</t>
        </is>
      </c>
    </row>
    <row r="4" ht="14" customHeight="1"/>
    <row r="5" ht="20" customHeight="1">
      <c r="B5" s="3" t="inlineStr">
        <is>
          <t>WHAT'S IN THIS WORKBOOK</t>
        </is>
      </c>
    </row>
    <row r="6" ht="22" customHeight="1">
      <c r="B6" s="4" t="inlineStr">
        <is>
          <t>Inputs</t>
        </is>
      </c>
      <c r="C6" s="5" t="inlineStr">
        <is>
          <t>All editable assumptions (yellow cells). Change a number here → everything updates.</t>
        </is>
      </c>
    </row>
    <row r="7" ht="22" customHeight="1">
      <c r="B7" s="4" t="inlineStr">
        <is>
          <t>Unit Economics</t>
        </is>
      </c>
      <c r="C7" s="5" t="inlineStr">
        <is>
          <t>LTV, CAC, gross margin, break-even — derived from Inputs.</t>
        </is>
      </c>
    </row>
    <row r="8" ht="22" customHeight="1">
      <c r="B8" s="4" t="inlineStr">
        <is>
          <t>Projections</t>
        </is>
      </c>
      <c r="C8" s="5" t="inlineStr">
        <is>
          <t>3 scenarios (Conservative / Base / Optimistic) month by month, Oct 2026–Dec 2027.</t>
        </is>
      </c>
    </row>
    <row r="9" ht="22" customHeight="1">
      <c r="B9" s="4" t="inlineStr">
        <is>
          <t>Burn &amp; Cash</t>
        </is>
      </c>
      <c r="C9" s="5" t="inlineStr">
        <is>
          <t>Monthly P&amp;L and cash runway from the $1.5M seed, based on Base scenario.</t>
        </is>
      </c>
    </row>
    <row r="10" ht="14" customHeight="1"/>
    <row r="11" ht="20" customHeight="1">
      <c r="B11" s="3" t="inlineStr">
        <is>
          <t>KEY METRICS  ·  June 2027 (Series A trigger)</t>
        </is>
      </c>
    </row>
    <row r="12" ht="20" customHeight="1">
      <c r="B12" s="6" t="inlineStr">
        <is>
          <t>Metric</t>
        </is>
      </c>
      <c r="C12" s="7" t="inlineStr">
        <is>
          <t>Conservative</t>
        </is>
      </c>
      <c r="D12" s="8" t="inlineStr">
        <is>
          <t>Base</t>
        </is>
      </c>
      <c r="E12" s="9" t="inlineStr">
        <is>
          <t>Optimistic</t>
        </is>
      </c>
    </row>
    <row r="13" ht="22" customHeight="1">
      <c r="B13" s="10" t="inlineStr">
        <is>
          <t>Paying teams · Jun 2027</t>
        </is>
      </c>
      <c r="C13" s="11" t="inlineStr">
        <is>
          <t>~220</t>
        </is>
      </c>
      <c r="D13" s="12" t="inlineStr">
        <is>
          <t>~367</t>
        </is>
      </c>
      <c r="E13" s="13" t="inlineStr">
        <is>
          <t>~589</t>
        </is>
      </c>
    </row>
    <row r="14" ht="22" customHeight="1">
      <c r="B14" s="14" t="inlineStr">
        <is>
          <t>MRR · Jun 2027</t>
        </is>
      </c>
      <c r="C14" s="11" t="inlineStr">
        <is>
          <t>$10,800</t>
        </is>
      </c>
      <c r="D14" s="12" t="inlineStr">
        <is>
          <t>$18,000</t>
        </is>
      </c>
      <c r="E14" s="13" t="inlineStr">
        <is>
          <t>$28,900</t>
        </is>
      </c>
    </row>
    <row r="15" ht="22" customHeight="1">
      <c r="B15" s="10" t="inlineStr">
        <is>
          <t>ARR · Jun 2027</t>
        </is>
      </c>
      <c r="C15" s="11" t="inlineStr">
        <is>
          <t>$129k</t>
        </is>
      </c>
      <c r="D15" s="12" t="inlineStr">
        <is>
          <t>$216k</t>
        </is>
      </c>
      <c r="E15" s="13" t="inlineStr">
        <is>
          <t>$347k</t>
        </is>
      </c>
    </row>
    <row r="16" ht="22" customHeight="1">
      <c r="B16" s="14" t="inlineStr"/>
      <c r="C16" s="15" t="inlineStr"/>
      <c r="D16" s="15" t="inlineStr"/>
      <c r="E16" s="15" t="inlineStr"/>
    </row>
    <row r="17" ht="22" customHeight="1">
      <c r="B17" s="10" t="inlineStr">
        <is>
          <t>Price / seat / month</t>
        </is>
      </c>
      <c r="C17" s="11" t="inlineStr">
        <is>
          <t>$14</t>
        </is>
      </c>
      <c r="D17" s="12" t="inlineStr">
        <is>
          <t>$14</t>
        </is>
      </c>
      <c r="E17" s="13" t="inlineStr">
        <is>
          <t>$14</t>
        </is>
      </c>
    </row>
    <row r="18" ht="22" customHeight="1">
      <c r="B18" s="14" t="inlineStr">
        <is>
          <t>Avg team size</t>
        </is>
      </c>
      <c r="C18" s="11" t="inlineStr">
        <is>
          <t>3.5 seats</t>
        </is>
      </c>
      <c r="D18" s="12" t="inlineStr">
        <is>
          <t>3.5 seats</t>
        </is>
      </c>
      <c r="E18" s="13" t="inlineStr">
        <is>
          <t>3.5 seats</t>
        </is>
      </c>
    </row>
    <row r="19" ht="22" customHeight="1">
      <c r="B19" s="10" t="inlineStr">
        <is>
          <t>Gross margin (infra)</t>
        </is>
      </c>
      <c r="C19" s="11" t="inlineStr">
        <is>
          <t>~99%</t>
        </is>
      </c>
      <c r="D19" s="12" t="inlineStr">
        <is>
          <t>~99%</t>
        </is>
      </c>
      <c r="E19" s="13" t="inlineStr">
        <is>
          <t>~99%</t>
        </is>
      </c>
    </row>
    <row r="20" ht="22" customHeight="1">
      <c r="B20" s="14" t="inlineStr">
        <is>
          <t>Monthly team churn</t>
        </is>
      </c>
      <c r="C20" s="11" t="inlineStr">
        <is>
          <t>3%</t>
        </is>
      </c>
      <c r="D20" s="12" t="inlineStr">
        <is>
          <t>3%</t>
        </is>
      </c>
      <c r="E20" s="13" t="inlineStr">
        <is>
          <t>3%</t>
        </is>
      </c>
    </row>
    <row r="21" ht="22" customHeight="1">
      <c r="B21" s="10" t="inlineStr"/>
      <c r="C21" s="16" t="inlineStr"/>
      <c r="D21" s="16" t="inlineStr"/>
      <c r="E21" s="16" t="inlineStr"/>
    </row>
    <row r="22" ht="22" customHeight="1">
      <c r="B22" s="14" t="inlineStr">
        <is>
          <t>Realistic Series A ARR</t>
        </is>
      </c>
      <c r="C22" s="11" t="inlineStr">
        <is>
          <t>~$130k</t>
        </is>
      </c>
      <c r="D22" s="12" t="inlineStr">
        <is>
          <t>~$216k</t>
        </is>
      </c>
      <c r="E22" s="13" t="inlineStr">
        <is>
          <t>~$347k</t>
        </is>
      </c>
    </row>
    <row r="23" ht="14" customHeight="1"/>
    <row r="24" ht="20" customHeight="1">
      <c r="B24" s="3" t="inlineStr">
        <is>
          <t>ROADMAP MILESTONES</t>
        </is>
      </c>
    </row>
    <row r="25" ht="26" customHeight="1">
      <c r="B25" s="10" t="inlineStr">
        <is>
          <t>May 2026</t>
        </is>
      </c>
      <c r="C25" s="17" t="inlineStr">
        <is>
          <t>OSS Launch</t>
        </is>
      </c>
      <c r="D25" s="18" t="inlineStr">
        <is>
          <t>4 operators · npx install · macOS menu-bar · launch articles</t>
        </is>
      </c>
    </row>
    <row r="26" ht="26" customHeight="1">
      <c r="B26" s="14" t="inlineStr">
        <is>
          <t>Jul 2026</t>
        </is>
      </c>
      <c r="C26" s="19" t="inlineStr">
        <is>
          <t>V1 Free Launch</t>
        </is>
      </c>
      <c r="D26" s="20" t="inlineStr">
        <is>
          <t>Context Cloud + // injection + target: 1,000 free users</t>
        </is>
      </c>
    </row>
    <row r="27" ht="26" customHeight="1">
      <c r="B27" s="21" t="inlineStr">
        <is>
          <t>Oct 2026</t>
        </is>
      </c>
      <c r="C27" s="21" t="inlineStr">
        <is>
          <t>Paid Tier Opens</t>
        </is>
      </c>
      <c r="D27" s="22" t="inlineStr">
        <is>
          <t>Team tier $14/seat/mo · shared contexts · handoffs · analytics</t>
        </is>
      </c>
    </row>
    <row r="28" ht="26" customHeight="1">
      <c r="B28" s="14" t="inlineStr">
        <is>
          <t>Jan 2027</t>
        </is>
      </c>
      <c r="C28" s="19" t="inlineStr">
        <is>
          <t>Series A Prep</t>
        </is>
      </c>
      <c r="D28" s="20" t="inlineStr">
        <is>
          <t>Deck ready · 200–400 teams paying · ARR: $100–250k</t>
        </is>
      </c>
    </row>
    <row r="29" ht="26" customHeight="1">
      <c r="B29" s="21" t="inlineStr">
        <is>
          <t>Jun 2027</t>
        </is>
      </c>
      <c r="C29" s="21" t="inlineStr">
        <is>
          <t>Series A Trigger</t>
        </is>
      </c>
      <c r="D29" s="22" t="inlineStr">
        <is>
          <t>$130k–$347k ARR depending on scenario</t>
        </is>
      </c>
    </row>
    <row r="30" ht="26" customHeight="1">
      <c r="B30" s="14" t="inlineStr">
        <is>
          <t>H2 2027</t>
        </is>
      </c>
      <c r="C30" s="19" t="inlineStr">
        <is>
          <t>Enterprise Pilots</t>
        </is>
      </c>
      <c r="D30" s="20" t="inlineStr">
        <is>
          <t>Figma / Linear / GitHub bridges · Process telemetry · V2</t>
        </is>
      </c>
    </row>
  </sheetData>
  <mergeCells count="12">
    <mergeCell ref="D25:E25"/>
    <mergeCell ref="D30:E30"/>
    <mergeCell ref="D29:E29"/>
    <mergeCell ref="D27:E27"/>
    <mergeCell ref="C8:E8"/>
    <mergeCell ref="C9:E9"/>
    <mergeCell ref="D28:E28"/>
    <mergeCell ref="B3:E3"/>
    <mergeCell ref="B2:E2"/>
    <mergeCell ref="C7:E7"/>
    <mergeCell ref="D26:E26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2" customWidth="1" min="3" max="3"/>
    <col width="16" customWidth="1" min="4" max="4"/>
    <col width="42" customWidth="1" min="5" max="5"/>
    <col width="2" customWidth="1" min="6" max="6"/>
  </cols>
  <sheetData>
    <row r="1" ht="10" customHeight="1"/>
    <row r="2" ht="36" customHeight="1">
      <c r="B2" s="23" t="inlineStr">
        <is>
          <t>Inputs &amp; Assumptions</t>
        </is>
      </c>
    </row>
    <row r="3" ht="20" customHeight="1">
      <c r="B3" s="2" t="inlineStr">
        <is>
          <t>Yellow cells = editable. All other sheets derive from column D.</t>
        </is>
      </c>
    </row>
    <row r="4" ht="14" customHeight="1"/>
    <row r="5" ht="22" customHeight="1">
      <c r="B5" s="24" t="inlineStr">
        <is>
          <t xml:space="preserve">  ← Yellow = editable input</t>
        </is>
      </c>
    </row>
    <row r="6" ht="10" customHeight="1"/>
    <row r="7" ht="24" customHeight="1">
      <c r="B7" s="25" t="inlineStr">
        <is>
          <t xml:space="preserve">  PRICING</t>
        </is>
      </c>
    </row>
    <row r="8" ht="20" customHeight="1">
      <c r="B8" s="26" t="inlineStr">
        <is>
          <t>Category</t>
        </is>
      </c>
      <c r="C8" s="26" t="inlineStr">
        <is>
          <t>Parameter</t>
        </is>
      </c>
      <c r="D8" s="26" t="inlineStr">
        <is>
          <t>Value</t>
        </is>
      </c>
      <c r="E8" s="26" t="inlineStr">
        <is>
          <t>Notes / Explanation</t>
        </is>
      </c>
    </row>
    <row r="9" ht="24" customHeight="1">
      <c r="B9" s="27" t="inlineStr">
        <is>
          <t>Pricing</t>
        </is>
      </c>
      <c r="C9" s="28" t="inlineStr">
        <is>
          <t>Price per seat / month</t>
        </is>
      </c>
      <c r="D9" s="29" t="n">
        <v>14</v>
      </c>
      <c r="E9" s="30" t="inlineStr">
        <is>
          <t>Team tier only — individual use is permanently free</t>
        </is>
      </c>
    </row>
    <row r="10" ht="24" customHeight="1">
      <c r="B10" s="27" t="inlineStr">
        <is>
          <t>Pricing</t>
        </is>
      </c>
      <c r="C10" s="28" t="inlineStr">
        <is>
          <t>Average team size (seats)</t>
        </is>
      </c>
      <c r="D10" s="31" t="n">
        <v>3.5</v>
      </c>
      <c r="E10" s="30" t="inlineStr">
        <is>
          <t>First-wave studios are small (3–4 seats); grows over time</t>
        </is>
      </c>
    </row>
    <row r="11" ht="24" customHeight="1">
      <c r="B11" s="27" t="inlineStr">
        <is>
          <t>Pricing</t>
        </is>
      </c>
      <c r="C11" s="28" t="inlineStr">
        <is>
          <t>ACV per team / month</t>
        </is>
      </c>
      <c r="D11" s="32">
        <f>D9*D10</f>
        <v/>
      </c>
      <c r="E11" s="30" t="inlineStr">
        <is>
          <t>Derived: seat price × avg team size</t>
        </is>
      </c>
    </row>
    <row r="12" ht="24" customHeight="1">
      <c r="B12" s="27" t="inlineStr">
        <is>
          <t>Pricing</t>
        </is>
      </c>
      <c r="C12" s="28" t="inlineStr">
        <is>
          <t>ACV per team / year</t>
        </is>
      </c>
      <c r="D12" s="33">
        <f>D11*12</f>
        <v/>
      </c>
      <c r="E12" s="30" t="inlineStr">
        <is>
          <t>Derived: monthly × 12</t>
        </is>
      </c>
    </row>
    <row r="13" ht="10" customHeight="1"/>
    <row r="14" ht="24" customHeight="1">
      <c r="B14" s="25" t="inlineStr">
        <is>
          <t xml:space="preserve">  COST OF GOODS SOLD  (infrastructure per seat)</t>
        </is>
      </c>
    </row>
    <row r="15" ht="20" customHeight="1">
      <c r="B15" s="26" t="inlineStr">
        <is>
          <t>Category</t>
        </is>
      </c>
      <c r="C15" s="26" t="inlineStr">
        <is>
          <t>Parameter</t>
        </is>
      </c>
      <c r="D15" s="26" t="inlineStr">
        <is>
          <t>Value</t>
        </is>
      </c>
      <c r="E15" s="26" t="inlineStr">
        <is>
          <t>Notes / Explanation</t>
        </is>
      </c>
    </row>
    <row r="16" ht="24" customHeight="1">
      <c r="B16" s="27" t="inlineStr">
        <is>
          <t>Infrastructure</t>
        </is>
      </c>
      <c r="C16" s="28" t="inlineStr">
        <is>
          <t>COGS per seat / month</t>
        </is>
      </c>
      <c r="D16" s="34" t="n">
        <v>0.08</v>
      </c>
      <c r="E16" s="30" t="inlineStr">
        <is>
          <t>Local-first (Ollama). Cloud stores backup only — S3 ~500MB/user avg.</t>
        </is>
      </c>
    </row>
    <row r="17" ht="24" customHeight="1">
      <c r="B17" s="27" t="inlineStr">
        <is>
          <t>Infrastructure</t>
        </is>
      </c>
      <c r="C17" s="28" t="inlineStr">
        <is>
          <t>COGS per team / month</t>
        </is>
      </c>
      <c r="D17" s="32">
        <f>D16*D10</f>
        <v/>
      </c>
      <c r="E17" s="30" t="inlineStr">
        <is>
          <t>Derived: COGS/seat × avg team size</t>
        </is>
      </c>
    </row>
    <row r="18" ht="24" customHeight="1">
      <c r="B18" s="27" t="inlineStr">
        <is>
          <t>Infrastructure</t>
        </is>
      </c>
      <c r="C18" s="28" t="inlineStr">
        <is>
          <t>Gross margin (infra)</t>
        </is>
      </c>
      <c r="D18" s="35">
        <f>(D9-D16)/D9</f>
        <v/>
      </c>
      <c r="E18" s="30" t="inlineStr">
        <is>
          <t>~99% — the business cost is people, not infrastructure</t>
        </is>
      </c>
    </row>
    <row r="19" ht="10" customHeight="1"/>
    <row r="20" ht="24" customHeight="1">
      <c r="B20" s="25" t="inlineStr">
        <is>
          <t xml:space="preserve">  SEED FUNDING &amp; BURN</t>
        </is>
      </c>
    </row>
    <row r="21" ht="20" customHeight="1">
      <c r="B21" s="26" t="inlineStr">
        <is>
          <t>Category</t>
        </is>
      </c>
      <c r="C21" s="26" t="inlineStr">
        <is>
          <t>Parameter</t>
        </is>
      </c>
      <c r="D21" s="26" t="inlineStr">
        <is>
          <t>Value</t>
        </is>
      </c>
      <c r="E21" s="26" t="inlineStr">
        <is>
          <t>Notes / Explanation</t>
        </is>
      </c>
    </row>
    <row r="22" ht="24" customHeight="1">
      <c r="B22" s="27" t="inlineStr">
        <is>
          <t>Fundraise</t>
        </is>
      </c>
      <c r="C22" s="28" t="inlineStr">
        <is>
          <t>Seed raise (total)</t>
        </is>
      </c>
      <c r="D22" s="36" t="n">
        <v>1500000</v>
      </c>
      <c r="E22" s="30" t="inlineStr">
        <is>
          <t>Pre-money negotiated; 18-month runway</t>
        </is>
      </c>
    </row>
    <row r="23" ht="24" customHeight="1">
      <c r="B23" s="27" t="inlineStr">
        <is>
          <t>Fundraise</t>
        </is>
      </c>
      <c r="C23" s="28" t="inlineStr">
        <is>
          <t>Runway (months)</t>
        </is>
      </c>
      <c r="D23" s="37" t="n">
        <v>18</v>
      </c>
      <c r="E23" s="30" t="inlineStr">
        <is>
          <t>Target runway from close to Series A</t>
        </is>
      </c>
    </row>
    <row r="24" ht="24" customHeight="1">
      <c r="B24" s="27" t="inlineStr">
        <is>
          <t>Burn</t>
        </is>
      </c>
      <c r="C24" s="28" t="inlineStr">
        <is>
          <t>Monthly burn rate</t>
        </is>
      </c>
      <c r="D24" s="33">
        <f>D22/D23</f>
        <v/>
      </c>
      <c r="E24" s="30" t="inlineStr">
        <is>
          <t>Derived: total raise ÷ runway</t>
        </is>
      </c>
    </row>
    <row r="25" ht="24" customHeight="1">
      <c r="B25" s="27" t="inlineStr">
        <is>
          <t>Burn</t>
        </is>
      </c>
      <c r="C25" s="28" t="inlineStr">
        <is>
          <t>Engineering %</t>
        </is>
      </c>
      <c r="D25" s="38" t="n">
        <v>0.35</v>
      </c>
      <c r="E25" s="30" t="inlineStr">
        <is>
          <t>2 hires: platform eng (capture/injection) + systems eng (cloud)</t>
        </is>
      </c>
    </row>
    <row r="26" ht="24" customHeight="1">
      <c r="B26" s="27" t="inlineStr">
        <is>
          <t>Burn</t>
        </is>
      </c>
      <c r="C26" s="28" t="inlineStr">
        <is>
          <t>GTM %</t>
        </is>
      </c>
      <c r="D26" s="38" t="n">
        <v>0.55</v>
      </c>
      <c r="E26" s="30" t="inlineStr">
        <is>
          <t>Founder launch, content, partner programs, Config/UXLive/DevDay</t>
        </is>
      </c>
    </row>
    <row r="27" ht="24" customHeight="1">
      <c r="B27" s="27" t="inlineStr">
        <is>
          <t>Burn</t>
        </is>
      </c>
      <c r="C27" s="28" t="inlineStr">
        <is>
          <t>Infrastructure %</t>
        </is>
      </c>
      <c r="D27" s="38" t="n">
        <v>0.1</v>
      </c>
      <c r="E27" s="30" t="inlineStr">
        <is>
          <t>Hosted backend, CDN, observability, security audit (pre-paid)</t>
        </is>
      </c>
    </row>
    <row r="28" ht="24" customHeight="1">
      <c r="B28" s="27" t="inlineStr">
        <is>
          <t>Burn</t>
        </is>
      </c>
      <c r="C28" s="28" t="inlineStr">
        <is>
          <t>Engineering / month</t>
        </is>
      </c>
      <c r="D28" s="33">
        <f>D24*D25</f>
        <v/>
      </c>
      <c r="E28" s="30" t="inlineStr">
        <is>
          <t>Derived</t>
        </is>
      </c>
    </row>
    <row r="29" ht="24" customHeight="1">
      <c r="B29" s="27" t="inlineStr">
        <is>
          <t>Burn</t>
        </is>
      </c>
      <c r="C29" s="28" t="inlineStr">
        <is>
          <t>GTM / month</t>
        </is>
      </c>
      <c r="D29" s="33">
        <f>D24*D26</f>
        <v/>
      </c>
      <c r="E29" s="30" t="inlineStr">
        <is>
          <t>Derived — this also sets CAC in Growth section</t>
        </is>
      </c>
    </row>
    <row r="30" ht="24" customHeight="1">
      <c r="B30" s="27" t="inlineStr">
        <is>
          <t>Burn</t>
        </is>
      </c>
      <c r="C30" s="28" t="inlineStr">
        <is>
          <t>Infrastructure (OpEx) / mo</t>
        </is>
      </c>
      <c r="D30" s="33">
        <f>D24*D27</f>
        <v/>
      </c>
      <c r="E30" s="30" t="inlineStr">
        <is>
          <t>Derived</t>
        </is>
      </c>
    </row>
    <row r="31" ht="10" customHeight="1"/>
    <row r="32" ht="24" customHeight="1">
      <c r="B32" s="25" t="inlineStr">
        <is>
          <t xml:space="preserve">  GROWTH &amp; RETENTION</t>
        </is>
      </c>
    </row>
    <row r="33" ht="20" customHeight="1">
      <c r="B33" s="26" t="inlineStr">
        <is>
          <t>Category</t>
        </is>
      </c>
      <c r="C33" s="26" t="inlineStr">
        <is>
          <t>Parameter</t>
        </is>
      </c>
      <c r="D33" s="26" t="inlineStr">
        <is>
          <t>Value</t>
        </is>
      </c>
      <c r="E33" s="26" t="inlineStr">
        <is>
          <t>Notes / Explanation</t>
        </is>
      </c>
    </row>
    <row r="34" ht="24" customHeight="1">
      <c r="B34" s="27" t="inlineStr">
        <is>
          <t>Retention</t>
        </is>
      </c>
      <c r="C34" s="28" t="inlineStr">
        <is>
          <t>Monthly team churn rate</t>
        </is>
      </c>
      <c r="D34" s="39" t="n">
        <v>0.03</v>
      </c>
      <c r="E34" s="30" t="inlineStr">
        <is>
          <t>3% = moderate. Best-in-class hits 1–2%. Assumed to improve post-PMF.</t>
        </is>
      </c>
    </row>
    <row r="35" ht="24" customHeight="1">
      <c r="B35" s="27" t="inlineStr">
        <is>
          <t>Retention</t>
        </is>
      </c>
      <c r="C35" s="28" t="inlineStr">
        <is>
          <t>Avg team lifespan (months)</t>
        </is>
      </c>
      <c r="D35" s="40">
        <f>1/D34</f>
        <v/>
      </c>
      <c r="E35" s="30" t="inlineStr">
        <is>
          <t>Derived: 1 ÷ churn rate. At 3% → 33 months.</t>
        </is>
      </c>
    </row>
    <row r="36" ht="24" customHeight="1">
      <c r="B36" s="27" t="inlineStr">
        <is>
          <t>Retention</t>
        </is>
      </c>
      <c r="C36" s="28" t="inlineStr">
        <is>
          <t>LTV per team</t>
        </is>
      </c>
      <c r="D36" s="33">
        <f>D11*D35</f>
        <v/>
      </c>
      <c r="E36" s="30" t="inlineStr">
        <is>
          <t>Monthly ACV × avg lifespan</t>
        </is>
      </c>
    </row>
    <row r="37" ht="24" customHeight="1">
      <c r="B37" s="27" t="inlineStr">
        <is>
          <t>Retention</t>
        </is>
      </c>
      <c r="C37" s="28" t="inlineStr">
        <is>
          <t>CAC (base scenario, GTM)</t>
        </is>
      </c>
      <c r="D37" s="33">
        <f>D29/25</f>
        <v/>
      </c>
      <c r="E37" s="30" t="inlineStr">
        <is>
          <t>GTM monthly spend ÷ 25 new teams/mo (base launch rate). Falls as organic grows</t>
        </is>
      </c>
    </row>
    <row r="38" ht="24" customHeight="1">
      <c r="B38" s="27" t="inlineStr">
        <is>
          <t>Retention</t>
        </is>
      </c>
      <c r="C38" s="28" t="inlineStr">
        <is>
          <t>LTV:CAC (early stage)</t>
        </is>
      </c>
      <c r="D38" s="41">
        <f>D36/D37</f>
        <v/>
      </c>
      <c r="E38" s="30" t="inlineStr">
        <is>
          <t>&lt;1× early is normal seed-stage. Target &gt;3× at scale (see Unit Economics)</t>
        </is>
      </c>
    </row>
    <row r="39" ht="10" customHeight="1"/>
    <row r="40" ht="24" customHeight="1">
      <c r="B40" s="25" t="inlineStr">
        <is>
          <t xml:space="preserve">  GROWTH SCENARIOS  —  new paying teams / month</t>
        </is>
      </c>
    </row>
    <row r="41" ht="20" customHeight="1">
      <c r="B41" s="26" t="inlineStr">
        <is>
          <t>Scenario</t>
        </is>
      </c>
      <c r="C41" s="26" t="inlineStr">
        <is>
          <t>Parameter</t>
        </is>
      </c>
      <c r="D41" s="26" t="inlineStr">
        <is>
          <t>Value</t>
        </is>
      </c>
      <c r="E41" s="26" t="inlineStr">
        <is>
          <t>Rationale</t>
        </is>
      </c>
    </row>
    <row r="42" ht="24" customHeight="1">
      <c r="B42" s="42" t="inlineStr">
        <is>
          <t>Conservative</t>
        </is>
      </c>
      <c r="C42" s="43" t="inlineStr">
        <is>
          <t>New teams at launch (Oct 2026)</t>
        </is>
      </c>
      <c r="D42" s="44" t="n">
        <v>15</v>
      </c>
      <c r="E42" s="45" t="inlineStr">
        <is>
          <t>~4 pilot studios + immediate network; tight but high-trust Israeli design cluster</t>
        </is>
      </c>
    </row>
    <row r="43" ht="24" customHeight="1">
      <c r="B43" s="42" t="inlineStr">
        <is>
          <t>Conservative</t>
        </is>
      </c>
      <c r="C43" s="43" t="inlineStr">
        <is>
          <t>Monthly growth in new teams</t>
        </is>
      </c>
      <c r="D43" s="44" t="n">
        <v>3</v>
      </c>
      <c r="E43" s="45" t="inlineStr">
        <is>
          <t>Slow word-of-mouth. +3 new teams every month on top of previous month's rate</t>
        </is>
      </c>
    </row>
    <row r="44" ht="10" customHeight="1"/>
    <row r="45" ht="24" customHeight="1">
      <c r="B45" s="46" t="inlineStr">
        <is>
          <t>Base</t>
        </is>
      </c>
      <c r="C45" s="47" t="inlineStr">
        <is>
          <t>New teams at launch (Oct 2026)</t>
        </is>
      </c>
      <c r="D45" s="44" t="n">
        <v>25</v>
      </c>
      <c r="E45" s="48" t="inlineStr">
        <is>
          <t>Pilot studios + network + early OSS converts. ~5% of 500 aware orgs pay immediately</t>
        </is>
      </c>
    </row>
    <row r="46" ht="24" customHeight="1">
      <c r="B46" s="46" t="inlineStr">
        <is>
          <t>Base</t>
        </is>
      </c>
      <c r="C46" s="47" t="inlineStr">
        <is>
          <t>Monthly growth in new teams</t>
        </is>
      </c>
      <c r="D46" s="44" t="n">
        <v>5</v>
      </c>
      <c r="E46" s="48" t="inlineStr">
        <is>
          <t>Content + conferences (Config 2026 etc.) drive sustained organic discovery</t>
        </is>
      </c>
    </row>
    <row r="47" ht="10" customHeight="1"/>
    <row r="48" ht="24" customHeight="1">
      <c r="B48" s="49" t="inlineStr">
        <is>
          <t>Optimistic</t>
        </is>
      </c>
      <c r="C48" s="50" t="inlineStr">
        <is>
          <t>New teams at launch (Oct 2026)</t>
        </is>
      </c>
      <c r="D48" s="44" t="n">
        <v>40</v>
      </c>
      <c r="E48" s="51" t="inlineStr">
        <is>
          <t>OSS breakout + viral conference moment. ~4% of 1,000 aware orgs convert at launch</t>
        </is>
      </c>
    </row>
    <row r="49" ht="24" customHeight="1">
      <c r="B49" s="49" t="inlineStr">
        <is>
          <t>Optimistic</t>
        </is>
      </c>
      <c r="C49" s="50" t="inlineStr">
        <is>
          <t>Monthly growth in new teams</t>
        </is>
      </c>
      <c r="D49" s="44" t="n">
        <v>8</v>
      </c>
      <c r="E49" s="51" t="inlineStr">
        <is>
          <t>Anthropic partner placement + one big content hit sustains high monthly inflow</t>
        </is>
      </c>
    </row>
  </sheetData>
  <mergeCells count="8">
    <mergeCell ref="B20:E20"/>
    <mergeCell ref="B40:E40"/>
    <mergeCell ref="B7:E7"/>
    <mergeCell ref="B3:E3"/>
    <mergeCell ref="B5:E5"/>
    <mergeCell ref="B2:E2"/>
    <mergeCell ref="B14:E14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42" customWidth="1" min="4" max="4"/>
    <col width="2" customWidth="1" min="5" max="5"/>
  </cols>
  <sheetData>
    <row r="1" ht="10" customHeight="1"/>
    <row r="2" ht="36" customHeight="1">
      <c r="B2" s="23" t="inlineStr">
        <is>
          <t>Unit Economics</t>
        </is>
      </c>
    </row>
    <row r="3" ht="20" customHeight="1">
      <c r="B3" s="2" t="inlineStr">
        <is>
          <t>All values derive from Inputs sheet. Edit yellow cells there → this sheet updates.</t>
        </is>
      </c>
    </row>
    <row r="4" ht="14" customHeight="1"/>
    <row r="5" ht="24" customHeight="1">
      <c r="B5" s="25" t="inlineStr">
        <is>
          <t xml:space="preserve">  REVENUE METRICS</t>
        </is>
      </c>
    </row>
    <row r="6" ht="20" customHeight="1">
      <c r="B6" s="26" t="inlineStr">
        <is>
          <t>Metric</t>
        </is>
      </c>
      <c r="C6" s="26" t="inlineStr">
        <is>
          <t>Value</t>
        </is>
      </c>
      <c r="D6" s="26" t="inlineStr">
        <is>
          <t>Explanation</t>
        </is>
      </c>
    </row>
    <row r="7" ht="24" customHeight="1">
      <c r="B7" s="28" t="inlineStr">
        <is>
          <t>Price per seat / month</t>
        </is>
      </c>
      <c r="C7" s="52">
        <f>Inputs!D9</f>
        <v/>
      </c>
      <c r="D7" s="30" t="inlineStr">
        <is>
          <t>Team tier only; individuals are free forever</t>
        </is>
      </c>
    </row>
    <row r="8" ht="24" customHeight="1">
      <c r="B8" s="28" t="inlineStr">
        <is>
          <t>Average team size</t>
        </is>
      </c>
      <c r="C8" s="53">
        <f>Inputs!D10</f>
        <v/>
      </c>
      <c r="D8" s="30" t="inlineStr">
        <is>
          <t>Seats per paying team — first wave: 3–4 seats (small studios)</t>
        </is>
      </c>
    </row>
    <row r="9" ht="24" customHeight="1">
      <c r="B9" s="28" t="inlineStr">
        <is>
          <t>Monthly revenue per team</t>
        </is>
      </c>
      <c r="C9" s="52">
        <f>Inputs!D11</f>
        <v/>
      </c>
      <c r="D9" s="30" t="inlineStr">
        <is>
          <t>ACV/team/month</t>
        </is>
      </c>
    </row>
    <row r="10" ht="24" customHeight="1">
      <c r="B10" s="28" t="inlineStr">
        <is>
          <t>Annual revenue per team</t>
        </is>
      </c>
      <c r="C10" s="54">
        <f>Inputs!D12</f>
        <v/>
      </c>
      <c r="D10" s="30" t="inlineStr">
        <is>
          <t>ACV/team/year — used for ARR and investor metrics</t>
        </is>
      </c>
    </row>
    <row r="11" ht="10" customHeight="1"/>
    <row r="12" ht="24" customHeight="1">
      <c r="B12" s="25" t="inlineStr">
        <is>
          <t xml:space="preserve">  COST OF GOODS SOLD</t>
        </is>
      </c>
    </row>
    <row r="13" ht="20" customHeight="1">
      <c r="B13" s="26" t="inlineStr">
        <is>
          <t>Metric</t>
        </is>
      </c>
      <c r="C13" s="26" t="inlineStr">
        <is>
          <t>Value</t>
        </is>
      </c>
      <c r="D13" s="26" t="inlineStr">
        <is>
          <t>Explanation</t>
        </is>
      </c>
    </row>
    <row r="14" ht="24" customHeight="1">
      <c r="B14" s="28" t="inlineStr">
        <is>
          <t>Infrastructure COGS / seat / month</t>
        </is>
      </c>
      <c r="C14" s="55">
        <f>Inputs!D16</f>
        <v/>
      </c>
      <c r="D14" s="30" t="inlineStr">
        <is>
          <t>Storage + sync on local-first model. Cloud = backup only.</t>
        </is>
      </c>
    </row>
    <row r="15" ht="24" customHeight="1">
      <c r="B15" s="28" t="inlineStr">
        <is>
          <t>Infrastructure COGS / team / month</t>
        </is>
      </c>
      <c r="C15" s="52">
        <f>Inputs!D17</f>
        <v/>
      </c>
      <c r="D15" s="30" t="inlineStr">
        <is>
          <t>COGS/seat × avg team size</t>
        </is>
      </c>
    </row>
    <row r="16" ht="24" customHeight="1">
      <c r="B16" s="28" t="inlineStr">
        <is>
          <t>Gross margin (infrastructure only)</t>
        </is>
      </c>
      <c r="C16" s="56">
        <f>Inputs!D18</f>
        <v/>
      </c>
      <c r="D16" s="30" t="inlineStr">
        <is>
          <t>~99%. The cost structure is people, not infrastructure.</t>
        </is>
      </c>
    </row>
    <row r="17" ht="10" customHeight="1"/>
    <row r="18" ht="24" customHeight="1">
      <c r="B18" s="25" t="inlineStr">
        <is>
          <t xml:space="preserve">  CUSTOMER ACQUISITION &amp; LIFETIME VALUE</t>
        </is>
      </c>
    </row>
    <row r="19" ht="20" customHeight="1">
      <c r="B19" s="26" t="inlineStr">
        <is>
          <t>Metric</t>
        </is>
      </c>
      <c r="C19" s="26" t="inlineStr">
        <is>
          <t>Value</t>
        </is>
      </c>
      <c r="D19" s="26" t="inlineStr">
        <is>
          <t>Explanation</t>
        </is>
      </c>
    </row>
    <row r="20" ht="24" customHeight="1">
      <c r="B20" s="28" t="inlineStr">
        <is>
          <t>Monthly team churn rate</t>
        </is>
      </c>
      <c r="C20" s="56">
        <f>Inputs!D34</f>
        <v/>
      </c>
      <c r="D20" s="30" t="inlineStr">
        <is>
          <t>3% monthly. Best-in-class team tools: 1–2%.</t>
        </is>
      </c>
    </row>
    <row r="21" ht="24" customHeight="1">
      <c r="B21" s="28" t="inlineStr">
        <is>
          <t>Average team lifespan</t>
        </is>
      </c>
      <c r="C21" s="57">
        <f>Inputs!D35</f>
        <v/>
      </c>
      <c r="D21" s="30" t="inlineStr">
        <is>
          <t>1 ÷ churn rate. At 3%: ~33 months.</t>
        </is>
      </c>
    </row>
    <row r="22" ht="24" customHeight="1">
      <c r="B22" s="28" t="inlineStr">
        <is>
          <t>LTV per team</t>
        </is>
      </c>
      <c r="C22" s="54">
        <f>Inputs!D36</f>
        <v/>
      </c>
      <c r="D22" s="30" t="inlineStr">
        <is>
          <t>Monthly ACV × avg lifespan = total revenue per team</t>
        </is>
      </c>
    </row>
    <row r="23" ht="24" customHeight="1">
      <c r="B23" s="28" t="inlineStr">
        <is>
          <t>CAC — base scenario (GTM-funded)</t>
        </is>
      </c>
      <c r="C23" s="54">
        <f>Inputs!D37</f>
        <v/>
      </c>
      <c r="D23" s="30" t="inlineStr">
        <is>
          <t>GTM monthly spend ÷ 25 new teams/mo at base launch</t>
        </is>
      </c>
    </row>
    <row r="24" ht="24" customHeight="1">
      <c r="B24" s="28" t="inlineStr">
        <is>
          <t>LTV:CAC — early stage</t>
        </is>
      </c>
      <c r="C24" s="58">
        <f>Inputs!D38</f>
        <v/>
      </c>
      <c r="D24" s="30" t="inlineStr">
        <is>
          <t>&lt;1× early is expected. Path to &gt;3× at scale (see notes)</t>
        </is>
      </c>
    </row>
    <row r="25" ht="10" customHeight="1"/>
    <row r="26" ht="100" customHeight="1">
      <c r="B26" s="59" t="inlineStr">
        <is>
          <t>WHY LTV:CAC &lt; 1× IS OK AT SEED STAGE:
• GTM spend of $46k/mo is high relative to early $49/mo ARPU per team.
• As teams/month scale from 25 → 100+, the same GTM budget makes CAC drop from ~$1,840 → ~$460.
• At $460 CAC: LTV:CAC = $1,617 / $460 = 3.5× — well above the '&gt;3× healthy' benchmark.
• Additionally, organic channels (OSS community, content, methodology-as-distribution) are not in the CAC calc.
  When 50%+ of acquisition is organic, effective CAC halves → LTV:CAC doubles.
Investors in seed-stage SaaS accept &lt;1× LTV:CAC when: (a) 70%+ gross margin, (b) clear path to &gt;3× at scale.
DS has both: 99% gross margin and a demonstrable scale curve on CAC.</t>
        </is>
      </c>
    </row>
    <row r="27" ht="10" customHeight="1"/>
    <row r="28" ht="24" customHeight="1">
      <c r="B28" s="25" t="inlineStr">
        <is>
          <t xml:space="preserve">  BREAK-EVEN</t>
        </is>
      </c>
    </row>
    <row r="29" ht="20" customHeight="1">
      <c r="B29" s="26" t="inlineStr">
        <is>
          <t>Metric</t>
        </is>
      </c>
      <c r="C29" s="26" t="inlineStr">
        <is>
          <t>Value</t>
        </is>
      </c>
      <c r="D29" s="26" t="inlineStr">
        <is>
          <t>Explanation</t>
        </is>
      </c>
    </row>
    <row r="30" ht="24" customHeight="1">
      <c r="B30" s="28" t="inlineStr">
        <is>
          <t>Monthly burn rate</t>
        </is>
      </c>
      <c r="C30" s="54">
        <f>Inputs!D24</f>
        <v/>
      </c>
      <c r="D30" s="30" t="inlineStr">
        <is>
          <t>Total seed ÷ runway months</t>
        </is>
      </c>
    </row>
    <row r="31" ht="24" customHeight="1">
      <c r="B31" s="28" t="inlineStr">
        <is>
          <t>MRR to break even</t>
        </is>
      </c>
      <c r="C31" s="54">
        <f>Inputs!D24</f>
        <v/>
      </c>
      <c r="D31" s="30" t="inlineStr">
        <is>
          <t>≈ burn (gross margin ~99%)</t>
        </is>
      </c>
    </row>
    <row r="32" ht="24" customHeight="1">
      <c r="B32" s="28" t="inlineStr">
        <is>
          <t>Paid seats to break even</t>
        </is>
      </c>
      <c r="C32" s="60">
        <f>Inputs!D24/Inputs!D9</f>
        <v/>
      </c>
      <c r="D32" s="30" t="inlineStr">
        <is>
          <t>MRR target ÷ price/seat</t>
        </is>
      </c>
    </row>
    <row r="33" ht="24" customHeight="1">
      <c r="B33" s="28" t="inlineStr">
        <is>
          <t>Paying teams to break even</t>
        </is>
      </c>
      <c r="C33" s="61">
        <f>Inputs!D24/Inputs!D11</f>
        <v/>
      </c>
      <c r="D33" s="30" t="inlineStr">
        <is>
          <t>MRR target ÷ ACV/team</t>
        </is>
      </c>
    </row>
    <row r="34" ht="36" customHeight="1">
      <c r="B34" s="62" t="inlineStr">
        <is>
          <t>Break-even (~1,700 teams) is a Series B target. The seed funds growth to Series A (150–400 teams).</t>
        </is>
      </c>
    </row>
  </sheetData>
  <mergeCells count="8">
    <mergeCell ref="B28:D28"/>
    <mergeCell ref="B3:D3"/>
    <mergeCell ref="B5:D5"/>
    <mergeCell ref="B26:D26"/>
    <mergeCell ref="B18:D18"/>
    <mergeCell ref="B12:D12"/>
    <mergeCell ref="B2:D2"/>
    <mergeCell ref="B34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8" customWidth="1" min="7" max="7"/>
    <col width="2" customWidth="1" min="8" max="8"/>
  </cols>
  <sheetData>
    <row r="1" ht="10" customHeight="1"/>
    <row r="2" ht="36" customHeight="1">
      <c r="B2" s="23" t="inlineStr">
        <is>
          <t>Revenue Projections · Oct 2026 – Dec 2027</t>
        </is>
      </c>
    </row>
    <row r="3" ht="20" customHeight="1">
      <c r="B3" s="2" t="inlineStr">
        <is>
          <t>Three scenarios. Assumptions in Inputs sheet. Highlighted rows = June 2027 (Series A trigger).</t>
        </is>
      </c>
    </row>
    <row r="4" ht="14" customHeight="1"/>
    <row r="5" ht="28" customHeight="1">
      <c r="B5" s="63" t="inlineStr">
        <is>
          <t xml:space="preserve">  CONSERVATIVE  ·  15 teams at launch  /  +3 teams / month</t>
        </is>
      </c>
    </row>
    <row r="6" ht="22" customHeight="1">
      <c r="B6" s="7" t="inlineStr">
        <is>
          <t>Month</t>
        </is>
      </c>
      <c r="C6" s="7" t="inlineStr">
        <is>
          <t>New teams</t>
        </is>
      </c>
      <c r="D6" s="7" t="inlineStr">
        <is>
          <t>Churned</t>
        </is>
      </c>
      <c r="E6" s="7" t="inlineStr">
        <is>
          <t>Cumulative teams</t>
        </is>
      </c>
      <c r="F6" s="7" t="inlineStr">
        <is>
          <t>MRR</t>
        </is>
      </c>
      <c r="G6" s="7" t="inlineStr">
        <is>
          <t>ARR (run-rate)</t>
        </is>
      </c>
    </row>
    <row r="7" ht="22" customHeight="1">
      <c r="B7" s="43" t="inlineStr">
        <is>
          <t>Oct 2026</t>
        </is>
      </c>
      <c r="C7" s="11" t="n">
        <v>15</v>
      </c>
      <c r="D7" s="64" t="n">
        <v>0</v>
      </c>
      <c r="E7" s="11" t="n">
        <v>15</v>
      </c>
      <c r="F7" s="65" t="n">
        <v>735</v>
      </c>
      <c r="G7" s="65" t="n">
        <v>8820</v>
      </c>
    </row>
    <row r="8" ht="22" customHeight="1">
      <c r="B8" s="66" t="inlineStr">
        <is>
          <t>Nov 2026</t>
        </is>
      </c>
      <c r="C8" s="16" t="n">
        <v>18</v>
      </c>
      <c r="D8" s="67" t="n">
        <v>0</v>
      </c>
      <c r="E8" s="16" t="n">
        <v>33</v>
      </c>
      <c r="F8" s="68" t="n">
        <v>1617</v>
      </c>
      <c r="G8" s="68" t="n">
        <v>19404</v>
      </c>
    </row>
    <row r="9" ht="22" customHeight="1">
      <c r="B9" s="43" t="inlineStr">
        <is>
          <t>Dec 2026</t>
        </is>
      </c>
      <c r="C9" s="11" t="n">
        <v>21</v>
      </c>
      <c r="D9" s="64" t="n">
        <v>1</v>
      </c>
      <c r="E9" s="11" t="n">
        <v>53</v>
      </c>
      <c r="F9" s="65" t="n">
        <v>2597</v>
      </c>
      <c r="G9" s="65" t="n">
        <v>31164</v>
      </c>
    </row>
    <row r="10" ht="22" customHeight="1">
      <c r="B10" s="66" t="inlineStr">
        <is>
          <t>Jan 2027</t>
        </is>
      </c>
      <c r="C10" s="16" t="n">
        <v>24</v>
      </c>
      <c r="D10" s="67" t="n">
        <v>2</v>
      </c>
      <c r="E10" s="16" t="n">
        <v>75</v>
      </c>
      <c r="F10" s="68" t="n">
        <v>3675</v>
      </c>
      <c r="G10" s="68" t="n">
        <v>44100</v>
      </c>
    </row>
    <row r="11" ht="22" customHeight="1">
      <c r="B11" s="43" t="inlineStr">
        <is>
          <t>Feb 2027</t>
        </is>
      </c>
      <c r="C11" s="11" t="n">
        <v>27</v>
      </c>
      <c r="D11" s="64" t="n">
        <v>2</v>
      </c>
      <c r="E11" s="11" t="n">
        <v>100</v>
      </c>
      <c r="F11" s="65" t="n">
        <v>4900</v>
      </c>
      <c r="G11" s="65" t="n">
        <v>58800</v>
      </c>
    </row>
    <row r="12" ht="22" customHeight="1">
      <c r="B12" s="66" t="inlineStr">
        <is>
          <t>Mar 2027</t>
        </is>
      </c>
      <c r="C12" s="16" t="n">
        <v>30</v>
      </c>
      <c r="D12" s="67" t="n">
        <v>3</v>
      </c>
      <c r="E12" s="16" t="n">
        <v>127</v>
      </c>
      <c r="F12" s="68" t="n">
        <v>6223</v>
      </c>
      <c r="G12" s="68" t="n">
        <v>74676</v>
      </c>
    </row>
    <row r="13" ht="22" customHeight="1">
      <c r="B13" s="43" t="inlineStr">
        <is>
          <t>Apr 2027</t>
        </is>
      </c>
      <c r="C13" s="11" t="n">
        <v>33</v>
      </c>
      <c r="D13" s="64" t="n">
        <v>4</v>
      </c>
      <c r="E13" s="11" t="n">
        <v>156</v>
      </c>
      <c r="F13" s="65" t="n">
        <v>7644</v>
      </c>
      <c r="G13" s="65" t="n">
        <v>91728</v>
      </c>
    </row>
    <row r="14" ht="22" customHeight="1">
      <c r="B14" s="66" t="inlineStr">
        <is>
          <t>May 2027</t>
        </is>
      </c>
      <c r="C14" s="16" t="n">
        <v>36</v>
      </c>
      <c r="D14" s="67" t="n">
        <v>5</v>
      </c>
      <c r="E14" s="16" t="n">
        <v>187</v>
      </c>
      <c r="F14" s="68" t="n">
        <v>9163</v>
      </c>
      <c r="G14" s="68" t="n">
        <v>109956</v>
      </c>
    </row>
    <row r="15" ht="22" customHeight="1">
      <c r="B15" s="69" t="inlineStr">
        <is>
          <t>Jun 2027</t>
        </is>
      </c>
      <c r="C15" s="70" t="n">
        <v>39</v>
      </c>
      <c r="D15" s="71" t="n">
        <v>6</v>
      </c>
      <c r="E15" s="72" t="n">
        <v>220</v>
      </c>
      <c r="F15" s="73" t="n">
        <v>10780</v>
      </c>
      <c r="G15" s="74" t="n">
        <v>129360</v>
      </c>
    </row>
    <row r="16" ht="22" customHeight="1">
      <c r="B16" s="66" t="inlineStr">
        <is>
          <t>Jul 2027</t>
        </is>
      </c>
      <c r="C16" s="16" t="n">
        <v>42</v>
      </c>
      <c r="D16" s="67" t="n">
        <v>7</v>
      </c>
      <c r="E16" s="16" t="n">
        <v>255</v>
      </c>
      <c r="F16" s="68" t="n">
        <v>12495</v>
      </c>
      <c r="G16" s="68" t="n">
        <v>149940</v>
      </c>
    </row>
    <row r="17" ht="22" customHeight="1">
      <c r="B17" s="43" t="inlineStr">
        <is>
          <t>Aug 2027</t>
        </is>
      </c>
      <c r="C17" s="11" t="n">
        <v>45</v>
      </c>
      <c r="D17" s="64" t="n">
        <v>8</v>
      </c>
      <c r="E17" s="11" t="n">
        <v>292</v>
      </c>
      <c r="F17" s="65" t="n">
        <v>14308</v>
      </c>
      <c r="G17" s="65" t="n">
        <v>171696</v>
      </c>
    </row>
    <row r="18" ht="22" customHeight="1">
      <c r="B18" s="66" t="inlineStr">
        <is>
          <t>Sep 2027</t>
        </is>
      </c>
      <c r="C18" s="16" t="n">
        <v>48</v>
      </c>
      <c r="D18" s="67" t="n">
        <v>9</v>
      </c>
      <c r="E18" s="16" t="n">
        <v>331</v>
      </c>
      <c r="F18" s="68" t="n">
        <v>16219</v>
      </c>
      <c r="G18" s="68" t="n">
        <v>194628</v>
      </c>
    </row>
    <row r="19" ht="22" customHeight="1">
      <c r="B19" s="43" t="inlineStr">
        <is>
          <t>Oct 2027</t>
        </is>
      </c>
      <c r="C19" s="11" t="n">
        <v>51</v>
      </c>
      <c r="D19" s="64" t="n">
        <v>10</v>
      </c>
      <c r="E19" s="11" t="n">
        <v>372</v>
      </c>
      <c r="F19" s="65" t="n">
        <v>18228</v>
      </c>
      <c r="G19" s="65" t="n">
        <v>218736</v>
      </c>
    </row>
    <row r="20" ht="22" customHeight="1">
      <c r="B20" s="66" t="inlineStr">
        <is>
          <t>Nov 2027</t>
        </is>
      </c>
      <c r="C20" s="16" t="n">
        <v>54</v>
      </c>
      <c r="D20" s="67" t="n">
        <v>11</v>
      </c>
      <c r="E20" s="16" t="n">
        <v>415</v>
      </c>
      <c r="F20" s="68" t="n">
        <v>20335</v>
      </c>
      <c r="G20" s="68" t="n">
        <v>244020</v>
      </c>
    </row>
    <row r="21" ht="22" customHeight="1">
      <c r="B21" s="43" t="inlineStr">
        <is>
          <t>Dec 2027</t>
        </is>
      </c>
      <c r="C21" s="11" t="n">
        <v>57</v>
      </c>
      <c r="D21" s="64" t="n">
        <v>12</v>
      </c>
      <c r="E21" s="11" t="n">
        <v>460</v>
      </c>
      <c r="F21" s="65" t="n">
        <v>22540</v>
      </c>
      <c r="G21" s="65" t="n">
        <v>270480</v>
      </c>
    </row>
    <row r="22" ht="26" customHeight="1">
      <c r="B22" s="75" t="inlineStr">
        <is>
          <t>Dec 2027 — end of model</t>
        </is>
      </c>
      <c r="C22" s="75" t="n"/>
      <c r="D22" s="75" t="n"/>
      <c r="E22" s="76" t="n">
        <v>460</v>
      </c>
      <c r="F22" s="77" t="n">
        <v>22540</v>
      </c>
      <c r="G22" s="77" t="n">
        <v>270480</v>
      </c>
    </row>
    <row r="24" ht="28" customHeight="1">
      <c r="B24" s="63" t="inlineStr">
        <is>
          <t xml:space="preserve">  BASE  ·  25 teams at launch  /  +5 teams / month</t>
        </is>
      </c>
    </row>
    <row r="25" ht="22" customHeight="1">
      <c r="B25" s="8" t="inlineStr">
        <is>
          <t>Month</t>
        </is>
      </c>
      <c r="C25" s="8" t="inlineStr">
        <is>
          <t>New teams</t>
        </is>
      </c>
      <c r="D25" s="8" t="inlineStr">
        <is>
          <t>Churned</t>
        </is>
      </c>
      <c r="E25" s="8" t="inlineStr">
        <is>
          <t>Cumulative teams</t>
        </is>
      </c>
      <c r="F25" s="8" t="inlineStr">
        <is>
          <t>MRR</t>
        </is>
      </c>
      <c r="G25" s="8" t="inlineStr">
        <is>
          <t>ARR (run-rate)</t>
        </is>
      </c>
    </row>
    <row r="26" ht="22" customHeight="1">
      <c r="B26" s="47" t="inlineStr">
        <is>
          <t>Oct 2026</t>
        </is>
      </c>
      <c r="C26" s="12" t="n">
        <v>25</v>
      </c>
      <c r="D26" s="78" t="n">
        <v>0</v>
      </c>
      <c r="E26" s="12" t="n">
        <v>25</v>
      </c>
      <c r="F26" s="79" t="n">
        <v>1225</v>
      </c>
      <c r="G26" s="79" t="n">
        <v>14700</v>
      </c>
    </row>
    <row r="27" ht="22" customHeight="1">
      <c r="B27" s="66" t="inlineStr">
        <is>
          <t>Nov 2026</t>
        </is>
      </c>
      <c r="C27" s="16" t="n">
        <v>30</v>
      </c>
      <c r="D27" s="67" t="n">
        <v>1</v>
      </c>
      <c r="E27" s="16" t="n">
        <v>54</v>
      </c>
      <c r="F27" s="68" t="n">
        <v>2646</v>
      </c>
      <c r="G27" s="68" t="n">
        <v>31752</v>
      </c>
    </row>
    <row r="28" ht="22" customHeight="1">
      <c r="B28" s="47" t="inlineStr">
        <is>
          <t>Dec 2026</t>
        </is>
      </c>
      <c r="C28" s="12" t="n">
        <v>35</v>
      </c>
      <c r="D28" s="78" t="n">
        <v>2</v>
      </c>
      <c r="E28" s="12" t="n">
        <v>87</v>
      </c>
      <c r="F28" s="79" t="n">
        <v>4263</v>
      </c>
      <c r="G28" s="79" t="n">
        <v>51156</v>
      </c>
    </row>
    <row r="29" ht="22" customHeight="1">
      <c r="B29" s="66" t="inlineStr">
        <is>
          <t>Jan 2027</t>
        </is>
      </c>
      <c r="C29" s="16" t="n">
        <v>40</v>
      </c>
      <c r="D29" s="67" t="n">
        <v>3</v>
      </c>
      <c r="E29" s="16" t="n">
        <v>124</v>
      </c>
      <c r="F29" s="68" t="n">
        <v>6076</v>
      </c>
      <c r="G29" s="68" t="n">
        <v>72912</v>
      </c>
    </row>
    <row r="30" ht="22" customHeight="1">
      <c r="B30" s="47" t="inlineStr">
        <is>
          <t>Feb 2027</t>
        </is>
      </c>
      <c r="C30" s="12" t="n">
        <v>45</v>
      </c>
      <c r="D30" s="78" t="n">
        <v>4</v>
      </c>
      <c r="E30" s="12" t="n">
        <v>165</v>
      </c>
      <c r="F30" s="79" t="n">
        <v>8085</v>
      </c>
      <c r="G30" s="79" t="n">
        <v>97020</v>
      </c>
    </row>
    <row r="31" ht="22" customHeight="1">
      <c r="B31" s="66" t="inlineStr">
        <is>
          <t>Mar 2027</t>
        </is>
      </c>
      <c r="C31" s="16" t="n">
        <v>50</v>
      </c>
      <c r="D31" s="67" t="n">
        <v>5</v>
      </c>
      <c r="E31" s="16" t="n">
        <v>210</v>
      </c>
      <c r="F31" s="68" t="n">
        <v>10290</v>
      </c>
      <c r="G31" s="68" t="n">
        <v>123480</v>
      </c>
    </row>
    <row r="32" ht="22" customHeight="1">
      <c r="B32" s="47" t="inlineStr">
        <is>
          <t>Apr 2027</t>
        </is>
      </c>
      <c r="C32" s="12" t="n">
        <v>55</v>
      </c>
      <c r="D32" s="78" t="n">
        <v>6</v>
      </c>
      <c r="E32" s="12" t="n">
        <v>259</v>
      </c>
      <c r="F32" s="79" t="n">
        <v>12691</v>
      </c>
      <c r="G32" s="79" t="n">
        <v>152292</v>
      </c>
    </row>
    <row r="33" ht="22" customHeight="1">
      <c r="B33" s="66" t="inlineStr">
        <is>
          <t>May 2027</t>
        </is>
      </c>
      <c r="C33" s="16" t="n">
        <v>60</v>
      </c>
      <c r="D33" s="67" t="n">
        <v>8</v>
      </c>
      <c r="E33" s="16" t="n">
        <v>311</v>
      </c>
      <c r="F33" s="68" t="n">
        <v>15239</v>
      </c>
      <c r="G33" s="68" t="n">
        <v>182868</v>
      </c>
    </row>
    <row r="34" ht="22" customHeight="1">
      <c r="B34" s="69" t="inlineStr">
        <is>
          <t>Jun 2027</t>
        </is>
      </c>
      <c r="C34" s="70" t="n">
        <v>65</v>
      </c>
      <c r="D34" s="71" t="n">
        <v>9</v>
      </c>
      <c r="E34" s="72" t="n">
        <v>367</v>
      </c>
      <c r="F34" s="73" t="n">
        <v>17983</v>
      </c>
      <c r="G34" s="74" t="n">
        <v>215796</v>
      </c>
    </row>
    <row r="35" ht="22" customHeight="1">
      <c r="B35" s="66" t="inlineStr">
        <is>
          <t>Jul 2027</t>
        </is>
      </c>
      <c r="C35" s="16" t="n">
        <v>70</v>
      </c>
      <c r="D35" s="67" t="n">
        <v>11</v>
      </c>
      <c r="E35" s="16" t="n">
        <v>426</v>
      </c>
      <c r="F35" s="68" t="n">
        <v>20874</v>
      </c>
      <c r="G35" s="68" t="n">
        <v>250488</v>
      </c>
    </row>
    <row r="36" ht="22" customHeight="1">
      <c r="B36" s="47" t="inlineStr">
        <is>
          <t>Aug 2027</t>
        </is>
      </c>
      <c r="C36" s="12" t="n">
        <v>75</v>
      </c>
      <c r="D36" s="78" t="n">
        <v>13</v>
      </c>
      <c r="E36" s="12" t="n">
        <v>488</v>
      </c>
      <c r="F36" s="79" t="n">
        <v>23912</v>
      </c>
      <c r="G36" s="79" t="n">
        <v>286944</v>
      </c>
    </row>
    <row r="37" ht="22" customHeight="1">
      <c r="B37" s="66" t="inlineStr">
        <is>
          <t>Sep 2027</t>
        </is>
      </c>
      <c r="C37" s="16" t="n">
        <v>80</v>
      </c>
      <c r="D37" s="67" t="n">
        <v>15</v>
      </c>
      <c r="E37" s="16" t="n">
        <v>553</v>
      </c>
      <c r="F37" s="68" t="n">
        <v>27097</v>
      </c>
      <c r="G37" s="68" t="n">
        <v>325164</v>
      </c>
    </row>
    <row r="38" ht="22" customHeight="1">
      <c r="B38" s="47" t="inlineStr">
        <is>
          <t>Oct 2027</t>
        </is>
      </c>
      <c r="C38" s="12" t="n">
        <v>85</v>
      </c>
      <c r="D38" s="78" t="n">
        <v>17</v>
      </c>
      <c r="E38" s="12" t="n">
        <v>621</v>
      </c>
      <c r="F38" s="79" t="n">
        <v>30429</v>
      </c>
      <c r="G38" s="79" t="n">
        <v>365148</v>
      </c>
    </row>
    <row r="39" ht="22" customHeight="1">
      <c r="B39" s="66" t="inlineStr">
        <is>
          <t>Nov 2027</t>
        </is>
      </c>
      <c r="C39" s="16" t="n">
        <v>90</v>
      </c>
      <c r="D39" s="67" t="n">
        <v>19</v>
      </c>
      <c r="E39" s="16" t="n">
        <v>692</v>
      </c>
      <c r="F39" s="68" t="n">
        <v>33908</v>
      </c>
      <c r="G39" s="68" t="n">
        <v>406896</v>
      </c>
    </row>
    <row r="40" ht="22" customHeight="1">
      <c r="B40" s="47" t="inlineStr">
        <is>
          <t>Dec 2027</t>
        </is>
      </c>
      <c r="C40" s="12" t="n">
        <v>95</v>
      </c>
      <c r="D40" s="78" t="n">
        <v>21</v>
      </c>
      <c r="E40" s="12" t="n">
        <v>766</v>
      </c>
      <c r="F40" s="79" t="n">
        <v>37534</v>
      </c>
      <c r="G40" s="79" t="n">
        <v>450408</v>
      </c>
    </row>
    <row r="41" ht="26" customHeight="1">
      <c r="B41" s="75" t="inlineStr">
        <is>
          <t>Dec 2027 — end of model</t>
        </is>
      </c>
      <c r="C41" s="75" t="n"/>
      <c r="D41" s="75" t="n"/>
      <c r="E41" s="76" t="n">
        <v>766</v>
      </c>
      <c r="F41" s="77" t="n">
        <v>37534</v>
      </c>
      <c r="G41" s="77" t="n">
        <v>450408</v>
      </c>
    </row>
    <row r="43" ht="28" customHeight="1">
      <c r="B43" s="63" t="inlineStr">
        <is>
          <t xml:space="preserve">  OPTIMISTIC  ·  40 teams at launch  /  +8 teams / month</t>
        </is>
      </c>
    </row>
    <row r="44" ht="22" customHeight="1">
      <c r="B44" s="9" t="inlineStr">
        <is>
          <t>Month</t>
        </is>
      </c>
      <c r="C44" s="9" t="inlineStr">
        <is>
          <t>New teams</t>
        </is>
      </c>
      <c r="D44" s="9" t="inlineStr">
        <is>
          <t>Churned</t>
        </is>
      </c>
      <c r="E44" s="9" t="inlineStr">
        <is>
          <t>Cumulative teams</t>
        </is>
      </c>
      <c r="F44" s="9" t="inlineStr">
        <is>
          <t>MRR</t>
        </is>
      </c>
      <c r="G44" s="9" t="inlineStr">
        <is>
          <t>ARR (run-rate)</t>
        </is>
      </c>
    </row>
    <row r="45" ht="22" customHeight="1">
      <c r="B45" s="50" t="inlineStr">
        <is>
          <t>Oct 2026</t>
        </is>
      </c>
      <c r="C45" s="13" t="n">
        <v>40</v>
      </c>
      <c r="D45" s="80" t="n">
        <v>0</v>
      </c>
      <c r="E45" s="13" t="n">
        <v>40</v>
      </c>
      <c r="F45" s="81" t="n">
        <v>1960</v>
      </c>
      <c r="G45" s="81" t="n">
        <v>23520</v>
      </c>
    </row>
    <row r="46" ht="22" customHeight="1">
      <c r="B46" s="66" t="inlineStr">
        <is>
          <t>Nov 2026</t>
        </is>
      </c>
      <c r="C46" s="16" t="n">
        <v>48</v>
      </c>
      <c r="D46" s="67" t="n">
        <v>1</v>
      </c>
      <c r="E46" s="16" t="n">
        <v>87</v>
      </c>
      <c r="F46" s="68" t="n">
        <v>4263</v>
      </c>
      <c r="G46" s="68" t="n">
        <v>51156</v>
      </c>
    </row>
    <row r="47" ht="22" customHeight="1">
      <c r="B47" s="50" t="inlineStr">
        <is>
          <t>Dec 2026</t>
        </is>
      </c>
      <c r="C47" s="13" t="n">
        <v>56</v>
      </c>
      <c r="D47" s="80" t="n">
        <v>3</v>
      </c>
      <c r="E47" s="13" t="n">
        <v>140</v>
      </c>
      <c r="F47" s="81" t="n">
        <v>6860</v>
      </c>
      <c r="G47" s="81" t="n">
        <v>82320</v>
      </c>
    </row>
    <row r="48" ht="22" customHeight="1">
      <c r="B48" s="66" t="inlineStr">
        <is>
          <t>Jan 2027</t>
        </is>
      </c>
      <c r="C48" s="16" t="n">
        <v>64</v>
      </c>
      <c r="D48" s="67" t="n">
        <v>4</v>
      </c>
      <c r="E48" s="16" t="n">
        <v>200</v>
      </c>
      <c r="F48" s="68" t="n">
        <v>9800</v>
      </c>
      <c r="G48" s="68" t="n">
        <v>117600</v>
      </c>
    </row>
    <row r="49" ht="22" customHeight="1">
      <c r="B49" s="50" t="inlineStr">
        <is>
          <t>Feb 2027</t>
        </is>
      </c>
      <c r="C49" s="13" t="n">
        <v>72</v>
      </c>
      <c r="D49" s="80" t="n">
        <v>6</v>
      </c>
      <c r="E49" s="13" t="n">
        <v>266</v>
      </c>
      <c r="F49" s="81" t="n">
        <v>13034</v>
      </c>
      <c r="G49" s="81" t="n">
        <v>156408</v>
      </c>
    </row>
    <row r="50" ht="22" customHeight="1">
      <c r="B50" s="66" t="inlineStr">
        <is>
          <t>Mar 2027</t>
        </is>
      </c>
      <c r="C50" s="16" t="n">
        <v>80</v>
      </c>
      <c r="D50" s="67" t="n">
        <v>8</v>
      </c>
      <c r="E50" s="16" t="n">
        <v>338</v>
      </c>
      <c r="F50" s="68" t="n">
        <v>16562</v>
      </c>
      <c r="G50" s="68" t="n">
        <v>198744</v>
      </c>
    </row>
    <row r="51" ht="22" customHeight="1">
      <c r="B51" s="50" t="inlineStr">
        <is>
          <t>Apr 2027</t>
        </is>
      </c>
      <c r="C51" s="13" t="n">
        <v>88</v>
      </c>
      <c r="D51" s="80" t="n">
        <v>10</v>
      </c>
      <c r="E51" s="13" t="n">
        <v>416</v>
      </c>
      <c r="F51" s="81" t="n">
        <v>20384</v>
      </c>
      <c r="G51" s="81" t="n">
        <v>244608</v>
      </c>
    </row>
    <row r="52" ht="22" customHeight="1">
      <c r="B52" s="66" t="inlineStr">
        <is>
          <t>May 2027</t>
        </is>
      </c>
      <c r="C52" s="16" t="n">
        <v>96</v>
      </c>
      <c r="D52" s="67" t="n">
        <v>12</v>
      </c>
      <c r="E52" s="16" t="n">
        <v>500</v>
      </c>
      <c r="F52" s="68" t="n">
        <v>24500</v>
      </c>
      <c r="G52" s="68" t="n">
        <v>294000</v>
      </c>
    </row>
    <row r="53" ht="22" customHeight="1">
      <c r="B53" s="69" t="inlineStr">
        <is>
          <t>Jun 2027</t>
        </is>
      </c>
      <c r="C53" s="70" t="n">
        <v>104</v>
      </c>
      <c r="D53" s="71" t="n">
        <v>15</v>
      </c>
      <c r="E53" s="72" t="n">
        <v>589</v>
      </c>
      <c r="F53" s="73" t="n">
        <v>28861</v>
      </c>
      <c r="G53" s="74" t="n">
        <v>346332</v>
      </c>
    </row>
    <row r="54" ht="22" customHeight="1">
      <c r="B54" s="66" t="inlineStr">
        <is>
          <t>Jul 2027</t>
        </is>
      </c>
      <c r="C54" s="16" t="n">
        <v>112</v>
      </c>
      <c r="D54" s="67" t="n">
        <v>18</v>
      </c>
      <c r="E54" s="16" t="n">
        <v>683</v>
      </c>
      <c r="F54" s="68" t="n">
        <v>33467</v>
      </c>
      <c r="G54" s="68" t="n">
        <v>401604</v>
      </c>
    </row>
    <row r="55" ht="22" customHeight="1">
      <c r="B55" s="50" t="inlineStr">
        <is>
          <t>Aug 2027</t>
        </is>
      </c>
      <c r="C55" s="13" t="n">
        <v>120</v>
      </c>
      <c r="D55" s="80" t="n">
        <v>20</v>
      </c>
      <c r="E55" s="13" t="n">
        <v>783</v>
      </c>
      <c r="F55" s="81" t="n">
        <v>38367</v>
      </c>
      <c r="G55" s="81" t="n">
        <v>460404</v>
      </c>
    </row>
    <row r="56" ht="22" customHeight="1">
      <c r="B56" s="66" t="inlineStr">
        <is>
          <t>Sep 2027</t>
        </is>
      </c>
      <c r="C56" s="16" t="n">
        <v>128</v>
      </c>
      <c r="D56" s="67" t="n">
        <v>23</v>
      </c>
      <c r="E56" s="16" t="n">
        <v>888</v>
      </c>
      <c r="F56" s="68" t="n">
        <v>43512</v>
      </c>
      <c r="G56" s="68" t="n">
        <v>522144</v>
      </c>
    </row>
    <row r="57" ht="22" customHeight="1">
      <c r="B57" s="50" t="inlineStr">
        <is>
          <t>Oct 2027</t>
        </is>
      </c>
      <c r="C57" s="13" t="n">
        <v>136</v>
      </c>
      <c r="D57" s="80" t="n">
        <v>27</v>
      </c>
      <c r="E57" s="13" t="n">
        <v>997</v>
      </c>
      <c r="F57" s="81" t="n">
        <v>48853</v>
      </c>
      <c r="G57" s="81" t="n">
        <v>586236</v>
      </c>
    </row>
    <row r="58" ht="22" customHeight="1">
      <c r="B58" s="66" t="inlineStr">
        <is>
          <t>Nov 2027</t>
        </is>
      </c>
      <c r="C58" s="16" t="n">
        <v>144</v>
      </c>
      <c r="D58" s="67" t="n">
        <v>30</v>
      </c>
      <c r="E58" s="16" t="n">
        <v>1111</v>
      </c>
      <c r="F58" s="68" t="n">
        <v>54439</v>
      </c>
      <c r="G58" s="68" t="n">
        <v>653268</v>
      </c>
    </row>
    <row r="59" ht="22" customHeight="1">
      <c r="B59" s="50" t="inlineStr">
        <is>
          <t>Dec 2027</t>
        </is>
      </c>
      <c r="C59" s="13" t="n">
        <v>152</v>
      </c>
      <c r="D59" s="80" t="n">
        <v>33</v>
      </c>
      <c r="E59" s="13" t="n">
        <v>1230</v>
      </c>
      <c r="F59" s="81" t="n">
        <v>60270</v>
      </c>
      <c r="G59" s="81" t="n">
        <v>723240</v>
      </c>
    </row>
    <row r="60" ht="26" customHeight="1">
      <c r="B60" s="75" t="inlineStr">
        <is>
          <t>Dec 2027 — end of model</t>
        </is>
      </c>
      <c r="C60" s="75" t="n"/>
      <c r="D60" s="75" t="n"/>
      <c r="E60" s="76" t="n">
        <v>1230</v>
      </c>
      <c r="F60" s="77" t="n">
        <v>60270</v>
      </c>
      <c r="G60" s="77" t="n">
        <v>723240</v>
      </c>
    </row>
  </sheetData>
  <mergeCells count="5">
    <mergeCell ref="B3:G3"/>
    <mergeCell ref="B2:G2"/>
    <mergeCell ref="B24:G24"/>
    <mergeCell ref="B5:G5"/>
    <mergeCell ref="B43:G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2" customWidth="1" min="11" max="11"/>
  </cols>
  <sheetData>
    <row r="1" ht="10" customHeight="1"/>
    <row r="2" ht="36" customHeight="1">
      <c r="B2" s="23" t="inlineStr">
        <is>
          <t>Burn &amp; Cash Position  ·  Base Scenario</t>
        </is>
      </c>
    </row>
    <row r="3" ht="20" customHeight="1">
      <c r="B3" s="2" t="inlineStr">
        <is>
          <t>Seed of $1.5M closes May 2026. Revenue starts Oct 2026. Base scenario projections.</t>
        </is>
      </c>
    </row>
    <row r="4" ht="14" customHeight="1"/>
    <row r="5" ht="26" customHeight="1">
      <c r="B5" s="82" t="inlineStr">
        <is>
          <t>Month</t>
        </is>
      </c>
      <c r="C5" s="82" t="inlineStr">
        <is>
          <t>Revenue (MRR)</t>
        </is>
      </c>
      <c r="D5" s="82" t="inlineStr">
        <is>
          <t>COGS</t>
        </is>
      </c>
      <c r="E5" s="82" t="inlineStr">
        <is>
          <t>Gross Profit</t>
        </is>
      </c>
      <c r="F5" s="82" t="inlineStr">
        <is>
          <t>Engineering</t>
        </is>
      </c>
      <c r="G5" s="82" t="inlineStr">
        <is>
          <t>GTM Spend</t>
        </is>
      </c>
      <c r="H5" s="82" t="inlineStr">
        <is>
          <t>Infra (OpEx)</t>
        </is>
      </c>
      <c r="I5" s="82" t="inlineStr">
        <is>
          <t>Net Burn / Mo</t>
        </is>
      </c>
      <c r="J5" s="82" t="inlineStr">
        <is>
          <t>Cash Remaining</t>
        </is>
      </c>
    </row>
    <row r="6" ht="22" customHeight="1">
      <c r="B6" s="83" t="inlineStr">
        <is>
          <t>May 2026</t>
        </is>
      </c>
      <c r="C6" s="84" t="n">
        <v>0</v>
      </c>
      <c r="D6" s="84" t="n">
        <v>0</v>
      </c>
      <c r="E6" s="84" t="n">
        <v>0</v>
      </c>
      <c r="F6" s="85" t="n">
        <v>29167</v>
      </c>
      <c r="G6" s="85" t="n">
        <v>45833</v>
      </c>
      <c r="H6" s="85" t="n">
        <v>8333</v>
      </c>
      <c r="I6" s="86" t="n">
        <v>-83333</v>
      </c>
      <c r="J6" s="87" t="n">
        <v>1416667</v>
      </c>
    </row>
    <row r="7" ht="22" customHeight="1">
      <c r="B7" s="66" t="inlineStr">
        <is>
          <t>Jun 2026</t>
        </is>
      </c>
      <c r="C7" s="88" t="n">
        <v>0</v>
      </c>
      <c r="D7" s="88" t="n">
        <v>0</v>
      </c>
      <c r="E7" s="88" t="n">
        <v>0</v>
      </c>
      <c r="F7" s="89" t="n">
        <v>29167</v>
      </c>
      <c r="G7" s="89" t="n">
        <v>45833</v>
      </c>
      <c r="H7" s="89" t="n">
        <v>8333</v>
      </c>
      <c r="I7" s="90" t="n">
        <v>-83333</v>
      </c>
      <c r="J7" s="68" t="n">
        <v>1333334</v>
      </c>
    </row>
    <row r="8" ht="22" customHeight="1">
      <c r="B8" s="83" t="inlineStr">
        <is>
          <t>Jul 2026</t>
        </is>
      </c>
      <c r="C8" s="84" t="n">
        <v>0</v>
      </c>
      <c r="D8" s="84" t="n">
        <v>0</v>
      </c>
      <c r="E8" s="84" t="n">
        <v>0</v>
      </c>
      <c r="F8" s="85" t="n">
        <v>29167</v>
      </c>
      <c r="G8" s="85" t="n">
        <v>45833</v>
      </c>
      <c r="H8" s="85" t="n">
        <v>8333</v>
      </c>
      <c r="I8" s="86" t="n">
        <v>-83333</v>
      </c>
      <c r="J8" s="87" t="n">
        <v>1250001</v>
      </c>
    </row>
    <row r="9" ht="22" customHeight="1">
      <c r="B9" s="66" t="inlineStr">
        <is>
          <t>Aug 2026</t>
        </is>
      </c>
      <c r="C9" s="88" t="n">
        <v>0</v>
      </c>
      <c r="D9" s="88" t="n">
        <v>0</v>
      </c>
      <c r="E9" s="88" t="n">
        <v>0</v>
      </c>
      <c r="F9" s="89" t="n">
        <v>29167</v>
      </c>
      <c r="G9" s="89" t="n">
        <v>45833</v>
      </c>
      <c r="H9" s="89" t="n">
        <v>8333</v>
      </c>
      <c r="I9" s="90" t="n">
        <v>-83333</v>
      </c>
      <c r="J9" s="68" t="n">
        <v>1166668</v>
      </c>
    </row>
    <row r="10" ht="22" customHeight="1">
      <c r="B10" s="83" t="inlineStr">
        <is>
          <t>Sep 2026</t>
        </is>
      </c>
      <c r="C10" s="84" t="n">
        <v>0</v>
      </c>
      <c r="D10" s="84" t="n">
        <v>0</v>
      </c>
      <c r="E10" s="84" t="n">
        <v>0</v>
      </c>
      <c r="F10" s="85" t="n">
        <v>29167</v>
      </c>
      <c r="G10" s="85" t="n">
        <v>45833</v>
      </c>
      <c r="H10" s="85" t="n">
        <v>8333</v>
      </c>
      <c r="I10" s="86" t="n">
        <v>-83333</v>
      </c>
      <c r="J10" s="87" t="n">
        <v>1083335</v>
      </c>
    </row>
    <row r="11" ht="22" customHeight="1">
      <c r="B11" s="69" t="inlineStr">
        <is>
          <t>Oct 2026</t>
        </is>
      </c>
      <c r="C11" s="91" t="n">
        <v>1225</v>
      </c>
      <c r="D11" s="92" t="n">
        <v>7</v>
      </c>
      <c r="E11" s="91" t="n">
        <v>1218</v>
      </c>
      <c r="F11" s="93" t="n">
        <v>29167</v>
      </c>
      <c r="G11" s="93" t="n">
        <v>45833</v>
      </c>
      <c r="H11" s="93" t="n">
        <v>8333</v>
      </c>
      <c r="I11" s="94" t="n">
        <v>-82115</v>
      </c>
      <c r="J11" s="73" t="n">
        <v>1001220</v>
      </c>
    </row>
    <row r="12" ht="22" customHeight="1">
      <c r="B12" s="83" t="inlineStr">
        <is>
          <t>Nov 2026</t>
        </is>
      </c>
      <c r="C12" s="87" t="n">
        <v>2646</v>
      </c>
      <c r="D12" s="84" t="n">
        <v>16</v>
      </c>
      <c r="E12" s="87" t="n">
        <v>2630</v>
      </c>
      <c r="F12" s="85" t="n">
        <v>29167</v>
      </c>
      <c r="G12" s="85" t="n">
        <v>45833</v>
      </c>
      <c r="H12" s="85" t="n">
        <v>8333</v>
      </c>
      <c r="I12" s="86" t="n">
        <v>-80703</v>
      </c>
      <c r="J12" s="87" t="n">
        <v>920517</v>
      </c>
    </row>
    <row r="13" ht="22" customHeight="1">
      <c r="B13" s="66" t="inlineStr">
        <is>
          <t>Dec 2026</t>
        </is>
      </c>
      <c r="C13" s="68" t="n">
        <v>4263</v>
      </c>
      <c r="D13" s="88" t="n">
        <v>26</v>
      </c>
      <c r="E13" s="68" t="n">
        <v>4237</v>
      </c>
      <c r="F13" s="89" t="n">
        <v>29167</v>
      </c>
      <c r="G13" s="89" t="n">
        <v>45833</v>
      </c>
      <c r="H13" s="89" t="n">
        <v>8333</v>
      </c>
      <c r="I13" s="90" t="n">
        <v>-79096</v>
      </c>
      <c r="J13" s="68" t="n">
        <v>841421</v>
      </c>
    </row>
    <row r="14" ht="22" customHeight="1">
      <c r="B14" s="83" t="inlineStr">
        <is>
          <t>Jan 2027</t>
        </is>
      </c>
      <c r="C14" s="87" t="n">
        <v>6076</v>
      </c>
      <c r="D14" s="84" t="n">
        <v>36</v>
      </c>
      <c r="E14" s="87" t="n">
        <v>6040</v>
      </c>
      <c r="F14" s="85" t="n">
        <v>29167</v>
      </c>
      <c r="G14" s="85" t="n">
        <v>45833</v>
      </c>
      <c r="H14" s="85" t="n">
        <v>8333</v>
      </c>
      <c r="I14" s="86" t="n">
        <v>-77293</v>
      </c>
      <c r="J14" s="87" t="n">
        <v>764128</v>
      </c>
    </row>
    <row r="15" ht="22" customHeight="1">
      <c r="B15" s="66" t="inlineStr">
        <is>
          <t>Feb 2027</t>
        </is>
      </c>
      <c r="C15" s="68" t="n">
        <v>8085</v>
      </c>
      <c r="D15" s="88" t="n">
        <v>49</v>
      </c>
      <c r="E15" s="68" t="n">
        <v>8036</v>
      </c>
      <c r="F15" s="89" t="n">
        <v>29167</v>
      </c>
      <c r="G15" s="89" t="n">
        <v>45833</v>
      </c>
      <c r="H15" s="89" t="n">
        <v>8333</v>
      </c>
      <c r="I15" s="90" t="n">
        <v>-75297</v>
      </c>
      <c r="J15" s="68" t="n">
        <v>688831</v>
      </c>
    </row>
    <row r="16" ht="22" customHeight="1">
      <c r="B16" s="83" t="inlineStr">
        <is>
          <t>Mar 2027</t>
        </is>
      </c>
      <c r="C16" s="87" t="n">
        <v>10290</v>
      </c>
      <c r="D16" s="84" t="n">
        <v>62</v>
      </c>
      <c r="E16" s="87" t="n">
        <v>10228</v>
      </c>
      <c r="F16" s="85" t="n">
        <v>29167</v>
      </c>
      <c r="G16" s="85" t="n">
        <v>45833</v>
      </c>
      <c r="H16" s="85" t="n">
        <v>8333</v>
      </c>
      <c r="I16" s="86" t="n">
        <v>-73105</v>
      </c>
      <c r="J16" s="87" t="n">
        <v>615726</v>
      </c>
    </row>
    <row r="17" ht="22" customHeight="1">
      <c r="B17" s="66" t="inlineStr">
        <is>
          <t>Apr 2027</t>
        </is>
      </c>
      <c r="C17" s="68" t="n">
        <v>12691</v>
      </c>
      <c r="D17" s="88" t="n">
        <v>76</v>
      </c>
      <c r="E17" s="68" t="n">
        <v>12615</v>
      </c>
      <c r="F17" s="89" t="n">
        <v>29167</v>
      </c>
      <c r="G17" s="89" t="n">
        <v>45833</v>
      </c>
      <c r="H17" s="89" t="n">
        <v>8333</v>
      </c>
      <c r="I17" s="90" t="n">
        <v>-70718</v>
      </c>
      <c r="J17" s="95" t="n">
        <v>545008</v>
      </c>
    </row>
    <row r="18" ht="22" customHeight="1">
      <c r="B18" s="83" t="inlineStr">
        <is>
          <t>May 2027</t>
        </is>
      </c>
      <c r="C18" s="87" t="n">
        <v>15239</v>
      </c>
      <c r="D18" s="84" t="n">
        <v>91</v>
      </c>
      <c r="E18" s="87" t="n">
        <v>15148</v>
      </c>
      <c r="F18" s="85" t="n">
        <v>29167</v>
      </c>
      <c r="G18" s="85" t="n">
        <v>45833</v>
      </c>
      <c r="H18" s="85" t="n">
        <v>8333</v>
      </c>
      <c r="I18" s="86" t="n">
        <v>-68185</v>
      </c>
      <c r="J18" s="96" t="n">
        <v>476823</v>
      </c>
    </row>
    <row r="19" ht="22" customHeight="1">
      <c r="B19" s="69" t="inlineStr">
        <is>
          <t>Jun 2027</t>
        </is>
      </c>
      <c r="C19" s="91" t="n">
        <v>17983</v>
      </c>
      <c r="D19" s="92" t="n">
        <v>108</v>
      </c>
      <c r="E19" s="91" t="n">
        <v>17875</v>
      </c>
      <c r="F19" s="93" t="n">
        <v>29167</v>
      </c>
      <c r="G19" s="93" t="n">
        <v>45833</v>
      </c>
      <c r="H19" s="93" t="n">
        <v>8333</v>
      </c>
      <c r="I19" s="94" t="n">
        <v>-65458</v>
      </c>
      <c r="J19" s="97" t="n">
        <v>411365</v>
      </c>
    </row>
    <row r="20" ht="22" customHeight="1">
      <c r="B20" s="83" t="inlineStr">
        <is>
          <t>Jul 2027</t>
        </is>
      </c>
      <c r="C20" s="87" t="n">
        <v>20874</v>
      </c>
      <c r="D20" s="84" t="n">
        <v>125</v>
      </c>
      <c r="E20" s="87" t="n">
        <v>20749</v>
      </c>
      <c r="F20" s="85" t="n">
        <v>29167</v>
      </c>
      <c r="G20" s="85" t="n">
        <v>45833</v>
      </c>
      <c r="H20" s="85" t="n">
        <v>8333</v>
      </c>
      <c r="I20" s="86" t="n">
        <v>-62584</v>
      </c>
      <c r="J20" s="96" t="n">
        <v>348781</v>
      </c>
    </row>
    <row r="21" ht="22" customHeight="1">
      <c r="B21" s="66" t="inlineStr">
        <is>
          <t>Aug 2027</t>
        </is>
      </c>
      <c r="C21" s="68" t="n">
        <v>23912</v>
      </c>
      <c r="D21" s="88" t="n">
        <v>143</v>
      </c>
      <c r="E21" s="68" t="n">
        <v>23769</v>
      </c>
      <c r="F21" s="89" t="n">
        <v>29167</v>
      </c>
      <c r="G21" s="89" t="n">
        <v>45833</v>
      </c>
      <c r="H21" s="89" t="n">
        <v>8333</v>
      </c>
      <c r="I21" s="90" t="n">
        <v>-59564</v>
      </c>
      <c r="J21" s="95" t="n">
        <v>289217</v>
      </c>
    </row>
    <row r="22" ht="22" customHeight="1">
      <c r="B22" s="83" t="inlineStr">
        <is>
          <t>Sep 2027</t>
        </is>
      </c>
      <c r="C22" s="87" t="n">
        <v>27097</v>
      </c>
      <c r="D22" s="84" t="n">
        <v>163</v>
      </c>
      <c r="E22" s="87" t="n">
        <v>26934</v>
      </c>
      <c r="F22" s="85" t="n">
        <v>29167</v>
      </c>
      <c r="G22" s="85" t="n">
        <v>45833</v>
      </c>
      <c r="H22" s="85" t="n">
        <v>8333</v>
      </c>
      <c r="I22" s="86" t="n">
        <v>-56399</v>
      </c>
      <c r="J22" s="96" t="n">
        <v>232818</v>
      </c>
    </row>
    <row r="23" ht="22" customHeight="1">
      <c r="B23" s="66" t="inlineStr">
        <is>
          <t>Oct 2027</t>
        </is>
      </c>
      <c r="C23" s="68" t="n">
        <v>30429</v>
      </c>
      <c r="D23" s="88" t="n">
        <v>183</v>
      </c>
      <c r="E23" s="68" t="n">
        <v>30246</v>
      </c>
      <c r="F23" s="89" t="n">
        <v>29167</v>
      </c>
      <c r="G23" s="89" t="n">
        <v>45833</v>
      </c>
      <c r="H23" s="89" t="n">
        <v>8333</v>
      </c>
      <c r="I23" s="90" t="n">
        <v>-53087</v>
      </c>
      <c r="J23" s="90" t="n">
        <v>179731</v>
      </c>
    </row>
    <row r="24" ht="22" customHeight="1">
      <c r="B24" s="83" t="inlineStr">
        <is>
          <t>Nov 2027</t>
        </is>
      </c>
      <c r="C24" s="87" t="n">
        <v>33908</v>
      </c>
      <c r="D24" s="84" t="n">
        <v>203</v>
      </c>
      <c r="E24" s="87" t="n">
        <v>33705</v>
      </c>
      <c r="F24" s="85" t="n">
        <v>29167</v>
      </c>
      <c r="G24" s="85" t="n">
        <v>45833</v>
      </c>
      <c r="H24" s="85" t="n">
        <v>8333</v>
      </c>
      <c r="I24" s="86" t="n">
        <v>-49628</v>
      </c>
      <c r="J24" s="86" t="n">
        <v>130103</v>
      </c>
    </row>
    <row r="25" ht="22" customHeight="1">
      <c r="B25" s="66" t="inlineStr">
        <is>
          <t>Dec 2027</t>
        </is>
      </c>
      <c r="C25" s="68" t="n">
        <v>37534</v>
      </c>
      <c r="D25" s="88" t="n">
        <v>225</v>
      </c>
      <c r="E25" s="68" t="n">
        <v>37309</v>
      </c>
      <c r="F25" s="89" t="n">
        <v>29167</v>
      </c>
      <c r="G25" s="89" t="n">
        <v>45833</v>
      </c>
      <c r="H25" s="89" t="n">
        <v>8333</v>
      </c>
      <c r="I25" s="90" t="n">
        <v>-46024</v>
      </c>
      <c r="J25" s="90" t="n">
        <v>84079</v>
      </c>
    </row>
    <row r="26" ht="14" customHeight="1"/>
    <row r="27" ht="110" customHeight="1">
      <c r="B27" s="59" t="inlineStr">
        <is>
          <t>NOTES:
• Revenue = $0 until Oct 2026 (paid tier launch). Pre-revenue months are pure burn.
• COGS is ~0.6% of MRR. The local-first architecture keeps infrastructure costs negligible.
• Engineering, GTM, and Infra are drawn as flat monthly allocations from the seed.
• Cash turns amber when &lt;$600k remaining (Series A prep territory), red when &lt;$200k (runway risk).
• Base scenario reaches ~$18k MRR / $216k ARR by June 2027. Monthly burn stays ~$83k.
  Revenue only partially offsets burn by Series A — the raise bridges to profitability post-Series A.
• To model a different scenario: go to Inputs sheet, change scenario values, and re-run the model
  (or adjust the Projections sheet to see Conservative / Optimistic cash curves).
Series A target: raise ~$5–8M on $150–350k ARR traction. Use of funds: scale GTM + add 2 engineers.</t>
        </is>
      </c>
    </row>
  </sheetData>
  <mergeCells count="3">
    <mergeCell ref="B27:J27"/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2026-05-12T12:08:40Z</dcterms:created>
  <dcterms:modified xsi:type="dcterms:W3CDTF">2026-05-12T12:08:41Z</dcterms:modified>
</cp:coreProperties>
</file>